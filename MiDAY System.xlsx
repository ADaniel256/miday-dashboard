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📌 NAVIGATION" sheetId="1" r:id="rId5"/>
    <sheet state="visible" name="🏠 DASHBOARD" sheetId="2" r:id="rId6"/>
    <sheet state="visible" name="📋 PRODUCTS" sheetId="3" r:id="rId7"/>
    <sheet state="visible" name="👤 CUSTOMERS" sheetId="4" r:id="rId8"/>
    <sheet state="visible" name="📦 INVENTORY" sheetId="5" r:id="rId9"/>
    <sheet state="visible" name="💰 EXPENSES" sheetId="6" r:id="rId10"/>
    <sheet state="visible" name="👥 FOUNDERS" sheetId="7" r:id="rId11"/>
    <sheet state="visible" name="📊 SALES" sheetId="8" r:id="rId12"/>
    <sheet state="visible" name="🔧 ASSETS" sheetId="9" r:id="rId13"/>
    <sheet state="visible" name="📊 WEEKLY PERFORMANCE" sheetId="10" r:id="rId14"/>
    <sheet state="visible" name="📈 MONTHLY PERFORMANCE" sheetId="11" r:id="rId15"/>
    <sheet state="visible" name="📊 COGS" sheetId="12" r:id="rId16"/>
    <sheet state="visible" name="MASTER_SALES" sheetId="13" r:id="rId17"/>
    <sheet state="visible" name="📋 LISTS" sheetId="14" r:id="rId18"/>
    <sheet state="visible" name="📧 EMAIL REPORTS" sheetId="15" r:id="rId19"/>
    <sheet state="visible" name="📱 ALERTS" sheetId="16" r:id="rId20"/>
    <sheet state="visible" name="👥 PROFIT SHARING" sheetId="17" r:id="rId21"/>
    <sheet state="visible" name="💳 PAYMENTS" sheetId="18" r:id="rId22"/>
    <sheet state="visible" name="SUPPLIERS" sheetId="19" r:id="rId2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📌 This sheet automatically pulls data from 📊 SALES. Add your sales there and they will appear here.</t>
      </text>
    </comment>
  </commentList>
</comments>
</file>

<file path=xl/sharedStrings.xml><?xml version="1.0" encoding="utf-8"?>
<sst xmlns="http://schemas.openxmlformats.org/spreadsheetml/2006/main" count="987" uniqueCount="344">
  <si>
    <t>Product ID</t>
  </si>
  <si>
    <t>Customer ID</t>
  </si>
  <si>
    <t>🚀 MiDAY System Navigation</t>
  </si>
  <si>
    <t>Customer Name</t>
  </si>
  <si>
    <t>Contact</t>
  </si>
  <si>
    <t>Product Name</t>
  </si>
  <si>
    <t>Location</t>
  </si>
  <si>
    <t>Category</t>
  </si>
  <si>
    <t>Total Purchases</t>
  </si>
  <si>
    <t>Unit Price (UGX)</t>
  </si>
  <si>
    <t>Last Purchase</t>
  </si>
  <si>
    <t>Active</t>
  </si>
  <si>
    <t>Total Spend (UGX)</t>
  </si>
  <si>
    <t>Notes</t>
  </si>
  <si>
    <t>Status</t>
  </si>
  <si>
    <t>📅 Last Updated:</t>
  </si>
  <si>
    <t>P001</t>
  </si>
  <si>
    <t>Kavera 15g</t>
  </si>
  <si>
    <t>Kavera</t>
  </si>
  <si>
    <t>Core product</t>
  </si>
  <si>
    <t>P002</t>
  </si>
  <si>
    <t>Kavera 25g</t>
  </si>
  <si>
    <t>P003</t>
  </si>
  <si>
    <t>Kavera 40g</t>
  </si>
  <si>
    <t>P004</t>
  </si>
  <si>
    <t>Baby Tin 18g</t>
  </si>
  <si>
    <t>📊 Quick Stats</t>
  </si>
  <si>
    <t>Baby Tin</t>
  </si>
  <si>
    <t>P005</t>
  </si>
  <si>
    <t>Baby Tin 20g</t>
  </si>
  <si>
    <t>📈 Revenue (MTD)</t>
  </si>
  <si>
    <t>💰 Net Profit (MTD)</t>
  </si>
  <si>
    <t>📦 Inventory Value</t>
  </si>
  <si>
    <t>👥 Total Capital</t>
  </si>
  <si>
    <t>P006</t>
  </si>
  <si>
    <t>📊 Revenue (Today)</t>
  </si>
  <si>
    <t>Spiced 50g</t>
  </si>
  <si>
    <t>🏠 DASHBOARD</t>
  </si>
  <si>
    <t>Spiced</t>
  </si>
  <si>
    <t>Complete business overview with charts &amp; KPIs</t>
  </si>
  <si>
    <t>📋 PRODUCTS</t>
  </si>
  <si>
    <t>Master product list (add/remove products here)</t>
  </si>
  <si>
    <t>P007</t>
  </si>
  <si>
    <t>Black Pack 100g</t>
  </si>
  <si>
    <t>Black Pack Small</t>
  </si>
  <si>
    <t>P008</t>
  </si>
  <si>
    <t>📊 SALES</t>
  </si>
  <si>
    <t>All sales in one place</t>
  </si>
  <si>
    <t>MiDAY Combo</t>
  </si>
  <si>
    <t>Combo</t>
  </si>
  <si>
    <t>👤 CUSTOMERS</t>
  </si>
  <si>
    <t>Customer tracking and history</t>
  </si>
  <si>
    <t>P009</t>
  </si>
  <si>
    <t>Quail Eggs 18s</t>
  </si>
  <si>
    <t>Eggs</t>
  </si>
  <si>
    <t>P010</t>
  </si>
  <si>
    <t>Roasted Coffee Beans (Kg)</t>
  </si>
  <si>
    <t>Roasted Bean</t>
  </si>
  <si>
    <t>📦 INVENTORY</t>
  </si>
  <si>
    <t>Raw materials + Finished goods (with payables)</t>
  </si>
  <si>
    <t>P011</t>
  </si>
  <si>
    <t>Medium Roast Fine Grind (250g)</t>
  </si>
  <si>
    <t>Black Pack Medium</t>
  </si>
  <si>
    <t>P012</t>
  </si>
  <si>
    <t>Medium Roast Medium Grind (250g)</t>
  </si>
  <si>
    <t>💰 EXPENSES</t>
  </si>
  <si>
    <t>Fixed, Variable, Operating expenses</t>
  </si>
  <si>
    <t>P013</t>
  </si>
  <si>
    <t>Dark Roast Fine Grind (250g)</t>
  </si>
  <si>
    <t>👥 FOUNDERS</t>
  </si>
  <si>
    <t>Capital contributions tracking</t>
  </si>
  <si>
    <t>P014</t>
  </si>
  <si>
    <t>🔧 ASSETS</t>
  </si>
  <si>
    <t>Dark Roast Medium Grind (250g)</t>
  </si>
  <si>
    <t>Equipment and machinery</t>
  </si>
  <si>
    <t>📊 WEEKLY PERFORMANCE</t>
  </si>
  <si>
    <t>Week-by-week tracking</t>
  </si>
  <si>
    <t>P015</t>
  </si>
  <si>
    <t>Medium Roast Fine Grind (500g)</t>
  </si>
  <si>
    <t>Black Pack Big</t>
  </si>
  <si>
    <t>📈 MONTHLY PERFORMANCE</t>
  </si>
  <si>
    <t>P016</t>
  </si>
  <si>
    <t>Monthly trends and targets</t>
  </si>
  <si>
    <t>Medium Roast Medium Grind (500)</t>
  </si>
  <si>
    <t>📊 COGS</t>
  </si>
  <si>
    <t>Cost of Goods Sold lookup</t>
  </si>
  <si>
    <t>P017</t>
  </si>
  <si>
    <t>Dark Roast Fine Grind (500g)</t>
  </si>
  <si>
    <t>MASTER_SALES</t>
  </si>
  <si>
    <t>Consolidated sales data</t>
  </si>
  <si>
    <t>P018</t>
  </si>
  <si>
    <t>Dark Roast Medium Grind (500g)</t>
  </si>
  <si>
    <t>📧 EMAIL REPORTS</t>
  </si>
  <si>
    <t>Automated reporting setup</t>
  </si>
  <si>
    <t>P019</t>
  </si>
  <si>
    <t>Medium Roast Fine Grind (kg)</t>
  </si>
  <si>
    <t>Black Pack Large</t>
  </si>
  <si>
    <t>📱 ALERTS</t>
  </si>
  <si>
    <t>P020</t>
  </si>
  <si>
    <t>Stock and performance alerts</t>
  </si>
  <si>
    <t>Medium Roast Medium Grind (kg)</t>
  </si>
  <si>
    <t>P021</t>
  </si>
  <si>
    <t>Dark Roast Fine Grind (kg)</t>
  </si>
  <si>
    <t>📊 RECEIVABLES &amp; PAYABLES SUMMARY</t>
  </si>
  <si>
    <t>👥 PROFIT SHARING</t>
  </si>
  <si>
    <t>Founder profit distribution</t>
  </si>
  <si>
    <t>P022</t>
  </si>
  <si>
    <t>Dark Roast Medium Grind (kg)</t>
  </si>
  <si>
    <t>P023</t>
  </si>
  <si>
    <t>P024</t>
  </si>
  <si>
    <t>Metric</t>
  </si>
  <si>
    <t>Amount (UGX)</t>
  </si>
  <si>
    <t>Action Required</t>
  </si>
  <si>
    <t>💰 Total Receivables</t>
  </si>
  <si>
    <t>💳 Payables (Expenses)</t>
  </si>
  <si>
    <t>📦 Payables (Inventory)</t>
  </si>
  <si>
    <t>💳 TOTAL PAYABLES</t>
  </si>
  <si>
    <t>📊 Net Position</t>
  </si>
  <si>
    <t>Date</t>
  </si>
  <si>
    <t>Item Category</t>
  </si>
  <si>
    <t>Item Name</t>
  </si>
  <si>
    <t>Supplier</t>
  </si>
  <si>
    <t>Quantity Received</t>
  </si>
  <si>
    <t>Unit Cost (UGX)</t>
  </si>
  <si>
    <t>Total Cost (UGX)</t>
  </si>
  <si>
    <t>Quantity Used</t>
  </si>
  <si>
    <t>Remaining Stock</t>
  </si>
  <si>
    <t>Reorder Level</t>
  </si>
  <si>
    <t>Payment Status</t>
  </si>
  <si>
    <t>Raw Material</t>
  </si>
  <si>
    <t>Arabica and robaster</t>
  </si>
  <si>
    <t>UGACOF</t>
  </si>
  <si>
    <t>Out of Stock</t>
  </si>
  <si>
    <t>Paid</t>
  </si>
  <si>
    <t>Black packs 100g</t>
  </si>
  <si>
    <t>Bugolobi</t>
  </si>
  <si>
    <t>In Stock</t>
  </si>
  <si>
    <t>Polythene 1.5inch</t>
  </si>
  <si>
    <t>Kireka</t>
  </si>
  <si>
    <t>Polythene 2.5inch</t>
  </si>
  <si>
    <t>Polythene 3inch</t>
  </si>
  <si>
    <t>Baby tins</t>
  </si>
  <si>
    <t>Town</t>
  </si>
  <si>
    <t>Finished Good</t>
  </si>
  <si>
    <t>Baby tins 20g</t>
  </si>
  <si>
    <t>Kasokoso</t>
  </si>
  <si>
    <t>Baby tin 18g</t>
  </si>
  <si>
    <t>Black pack 100g</t>
  </si>
  <si>
    <t>Deducted from last batch on June 6th</t>
  </si>
  <si>
    <t xml:space="preserve">Kavera 25g </t>
  </si>
  <si>
    <t>Gold tins 50g</t>
  </si>
  <si>
    <t>Coffee spices</t>
  </si>
  <si>
    <t>Coffee premium</t>
  </si>
  <si>
    <t>Low Stock</t>
  </si>
  <si>
    <t>Deducted from June 6th balance 16packs</t>
  </si>
  <si>
    <t>Masala 50g</t>
  </si>
  <si>
    <t>Baby tins 18g</t>
  </si>
  <si>
    <t>Black pack 1kg special order</t>
  </si>
  <si>
    <t>Roasted coffee</t>
  </si>
  <si>
    <t>Black packs 250g</t>
  </si>
  <si>
    <t xml:space="preserve"> Dark roast fine grind 250g</t>
  </si>
  <si>
    <t>Dark roast medium grind 250g</t>
  </si>
  <si>
    <t>Medium roast medium grind 250g</t>
  </si>
  <si>
    <t>Baby tin</t>
  </si>
  <si>
    <t xml:space="preserve">Spices </t>
  </si>
  <si>
    <t>Expense Type</t>
  </si>
  <si>
    <t>Description</t>
  </si>
  <si>
    <t>Supplier/Vendor</t>
  </si>
  <si>
    <t>Payment Method</t>
  </si>
  <si>
    <t>Variable</t>
  </si>
  <si>
    <t>Other</t>
  </si>
  <si>
    <t>Roasting</t>
  </si>
  <si>
    <t>Cash</t>
  </si>
  <si>
    <t xml:space="preserve">Grinding </t>
  </si>
  <si>
    <t>Operating</t>
  </si>
  <si>
    <t>Packaging</t>
  </si>
  <si>
    <t>Stickers</t>
  </si>
  <si>
    <t>Transport &amp; Fuel</t>
  </si>
  <si>
    <t>Coffee and stickers</t>
  </si>
  <si>
    <t>Salaries</t>
  </si>
  <si>
    <t>Field marketing</t>
  </si>
  <si>
    <t>Equipment</t>
  </si>
  <si>
    <t>Bucket for coffee</t>
  </si>
  <si>
    <t>Rug and dust bin</t>
  </si>
  <si>
    <t>Can and small bucket</t>
  </si>
  <si>
    <t>Towel and container</t>
  </si>
  <si>
    <t>Contribution Type</t>
  </si>
  <si>
    <t>Transaction ID</t>
  </si>
  <si>
    <t>SY (UGX)</t>
  </si>
  <si>
    <t>Tendo (UGX)</t>
  </si>
  <si>
    <t>Antipas (UGX)</t>
  </si>
  <si>
    <t>Ashaba (UGX)</t>
  </si>
  <si>
    <t>Utilities</t>
  </si>
  <si>
    <t>TOTAL (UGX)</t>
  </si>
  <si>
    <t>Business registration</t>
  </si>
  <si>
    <t>SY</t>
  </si>
  <si>
    <t>Additional Investment</t>
  </si>
  <si>
    <t>Precious and Irene</t>
  </si>
  <si>
    <t>Welfare</t>
  </si>
  <si>
    <t>Fixed</t>
  </si>
  <si>
    <t>Rent</t>
  </si>
  <si>
    <t xml:space="preserve"> Mbalwa - 4months</t>
  </si>
  <si>
    <t>Gloves</t>
  </si>
  <si>
    <t>Sticker for Parteker's coffee</t>
  </si>
  <si>
    <t>Parteker's coffee</t>
  </si>
  <si>
    <t>stickers</t>
  </si>
  <si>
    <t>Black bag</t>
  </si>
  <si>
    <t>Antipas</t>
  </si>
  <si>
    <t>Lunch</t>
  </si>
  <si>
    <t>Welfare for meeting</t>
  </si>
  <si>
    <t>Mushabe</t>
  </si>
  <si>
    <t>4th August expense</t>
  </si>
  <si>
    <t>Welfare for 2 agents</t>
  </si>
  <si>
    <t>Welfare for 3agents</t>
  </si>
  <si>
    <t>Lost cash in the field</t>
  </si>
  <si>
    <t>Meals</t>
  </si>
  <si>
    <t>TIN URA</t>
  </si>
  <si>
    <t>Chairman</t>
  </si>
  <si>
    <t>Dinson office lady</t>
  </si>
  <si>
    <t>Trading license</t>
  </si>
  <si>
    <t>Partnership deed</t>
  </si>
  <si>
    <t>Quantity</t>
  </si>
  <si>
    <t>Unit Price</t>
  </si>
  <si>
    <t>Revenue</t>
  </si>
  <si>
    <t>Agent</t>
  </si>
  <si>
    <t>Customer</t>
  </si>
  <si>
    <t>Partial</t>
  </si>
  <si>
    <t>2trays in debt</t>
  </si>
  <si>
    <t>Cleared 12th Aug</t>
  </si>
  <si>
    <t>Pending</t>
  </si>
  <si>
    <t>Credit</t>
  </si>
  <si>
    <t>Tendo</t>
  </si>
  <si>
    <t>Purchase Date</t>
  </si>
  <si>
    <t>Asset Category</t>
  </si>
  <si>
    <t>Asset Name</t>
  </si>
  <si>
    <t>Serial/Tag No.</t>
  </si>
  <si>
    <t>Condition</t>
  </si>
  <si>
    <t>Depreciation (Monthly)</t>
  </si>
  <si>
    <t>Scissor</t>
  </si>
  <si>
    <t>Sealer</t>
  </si>
  <si>
    <t>Weighing scale</t>
  </si>
  <si>
    <t>Coffee machine</t>
  </si>
  <si>
    <t xml:space="preserve">Grinder </t>
  </si>
  <si>
    <t>Display</t>
  </si>
  <si>
    <t>Chairs</t>
  </si>
  <si>
    <t>Wood boards</t>
  </si>
  <si>
    <t>Aprons</t>
  </si>
  <si>
    <t>Week Starting</t>
  </si>
  <si>
    <t>Week Ending</t>
  </si>
  <si>
    <t>COGS</t>
  </si>
  <si>
    <t>Gross Profit</t>
  </si>
  <si>
    <t>Gross Margin %</t>
  </si>
  <si>
    <t>Opex</t>
  </si>
  <si>
    <t>Net Profit</t>
  </si>
  <si>
    <t>Net Margin %</t>
  </si>
  <si>
    <t>Units Sold</t>
  </si>
  <si>
    <t>Top Product</t>
  </si>
  <si>
    <t>Growth %</t>
  </si>
  <si>
    <t>Target vs Actual</t>
  </si>
  <si>
    <t>Month</t>
  </si>
  <si>
    <t>Avg Weekly Revenue</t>
  </si>
  <si>
    <t>Cost Per Unit (UGX)</t>
  </si>
  <si>
    <t>📋 Master Lists for Dropdowns</t>
  </si>
  <si>
    <t>Expense Types</t>
  </si>
  <si>
    <t>Expense Categories</t>
  </si>
  <si>
    <t>Payment Methods</t>
  </si>
  <si>
    <t>Inventory Categories</t>
  </si>
  <si>
    <t>Inventory Payment Status</t>
  </si>
  <si>
    <t>Logistics</t>
  </si>
  <si>
    <t>Mobile Money</t>
  </si>
  <si>
    <t>Maintenance</t>
  </si>
  <si>
    <t>Bank Transfer</t>
  </si>
  <si>
    <t>Overdue</t>
  </si>
  <si>
    <t>Cheque</t>
  </si>
  <si>
    <t>Marketing</t>
  </si>
  <si>
    <t>Insurance</t>
  </si>
  <si>
    <t>Recipient</t>
  </si>
  <si>
    <t>Email Address</t>
  </si>
  <si>
    <t>Report Type</t>
  </si>
  <si>
    <t>Frequency</t>
  </si>
  <si>
    <t>Day to Send</t>
  </si>
  <si>
    <t>Time to Send</t>
  </si>
  <si>
    <t>Last Sent</t>
  </si>
  <si>
    <t>sy@miday.com</t>
  </si>
  <si>
    <t>Weekly Summary + Receivables + Payables</t>
  </si>
  <si>
    <t>Weekly</t>
  </si>
  <si>
    <t>Monday</t>
  </si>
  <si>
    <t>Founder</t>
  </si>
  <si>
    <t>tendo@miday.com</t>
  </si>
  <si>
    <t>antipas@miday.com</t>
  </si>
  <si>
    <t>Ashaba</t>
  </si>
  <si>
    <t>ashaba@miday.com</t>
  </si>
  <si>
    <t>Alert Type</t>
  </si>
  <si>
    <t>Check Frequency</t>
  </si>
  <si>
    <t>Last Checked</t>
  </si>
  <si>
    <t>Notification Method</t>
  </si>
  <si>
    <t>Recipients</t>
  </si>
  <si>
    <t>Remaining Stock &lt; Reorder Level</t>
  </si>
  <si>
    <t>Daily</t>
  </si>
  <si>
    <t>Email + SMS</t>
  </si>
  <si>
    <t>All Founders</t>
  </si>
  <si>
    <t>Auto-alert when stock is low</t>
  </si>
  <si>
    <t>Sales Drop</t>
  </si>
  <si>
    <t>Weekly Revenue &lt; 70% of Last Week</t>
  </si>
  <si>
    <t>Email</t>
  </si>
  <si>
    <t>Alert when sales drop significantly</t>
  </si>
  <si>
    <t>Profit Warning</t>
  </si>
  <si>
    <t>Net Profit &lt; 10% of Revenue</t>
  </si>
  <si>
    <t>Alert when margins are thin</t>
  </si>
  <si>
    <t>Target Miss</t>
  </si>
  <si>
    <t>Monthly Revenue &lt; 80% of Target</t>
  </si>
  <si>
    <t>Monthly</t>
  </si>
  <si>
    <t>Alert when targets are at risk</t>
  </si>
  <si>
    <t>Expense Spike</t>
  </si>
  <si>
    <t>Opex &gt; 80% of Revenue</t>
  </si>
  <si>
    <t>SY, Tendo</t>
  </si>
  <si>
    <t>Alert when expenses are too high</t>
  </si>
  <si>
    <t>Capital Warning</t>
  </si>
  <si>
    <t>Available Capital &lt; 20% of Total</t>
  </si>
  <si>
    <t>Alert when capital is running low</t>
  </si>
  <si>
    <t>Receivables Alert</t>
  </si>
  <si>
    <t>Total Receivables &gt; 1,000,000</t>
  </si>
  <si>
    <t>Alert when receivables are too high</t>
  </si>
  <si>
    <t>Overdue Alert</t>
  </si>
  <si>
    <t>Over 30 Days Receivables &gt; 0</t>
  </si>
  <si>
    <t>Alert when customers are overdue</t>
  </si>
  <si>
    <t>Inventory Payables Alert</t>
  </si>
  <si>
    <t>Inventory Payables &gt; 500,000</t>
  </si>
  <si>
    <t>Alert when inventory payables are high</t>
  </si>
  <si>
    <t>Total Profit</t>
  </si>
  <si>
    <t>Ownership %</t>
  </si>
  <si>
    <t>Share Amount</t>
  </si>
  <si>
    <t>Bonus</t>
  </si>
  <si>
    <t>Total Payout</t>
  </si>
  <si>
    <t>Payment Date</t>
  </si>
  <si>
    <t>Invoice/Reference</t>
  </si>
  <si>
    <t>Product</t>
  </si>
  <si>
    <t>Amount in debt</t>
  </si>
  <si>
    <t>Amount Paid (UGX)</t>
  </si>
  <si>
    <t>Balance</t>
  </si>
  <si>
    <t>Quail eggs</t>
  </si>
  <si>
    <t>David Musasizi</t>
  </si>
  <si>
    <t>Completed</t>
  </si>
  <si>
    <t>Mzee Mudeacon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</si>
</sst>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mmm yyyy"/>
  </numFmts>
  <fonts count="25">
    <font>
      <sz val="10.0"/>
      <color rgb="FF000000"/>
      <name val="Arial"/>
      <scheme val="minor"/>
    </font>
    <font>
      <b/>
      <sz val="20.0"/>
      <color rgb="FFFFFFFF"/>
      <name val="Arial"/>
      <scheme val="minor"/>
    </font>
    <font>
      <b/>
      <color rgb="FFFFFFFF"/>
      <name val="Arial"/>
      <scheme val="minor"/>
    </font>
    <font>
      <b/>
      <sz val="15.0"/>
      <color rgb="FFFFFFFF"/>
      <name val="Arial"/>
      <scheme val="minor"/>
    </font>
    <font>
      <b/>
      <sz val="21.0"/>
      <color theme="1"/>
      <name val="Arial"/>
      <scheme val="minor"/>
    </font>
    <font>
      <sz val="20.0"/>
      <color theme="1"/>
      <name val="Arial"/>
      <scheme val="minor"/>
    </font>
    <font>
      <sz val="21.0"/>
      <color theme="1"/>
      <name val="Arial"/>
      <scheme val="minor"/>
    </font>
    <font>
      <sz val="15.0"/>
      <color theme="1"/>
      <name val="Arial"/>
      <scheme val="minor"/>
    </font>
    <font>
      <b/>
      <sz val="17.0"/>
      <color theme="1"/>
      <name val="Arial"/>
      <scheme val="minor"/>
    </font>
    <font>
      <color theme="1"/>
      <name val="Arial"/>
      <scheme val="minor"/>
    </font>
    <font>
      <sz val="18.0"/>
      <color theme="1"/>
      <name val="Arial"/>
      <scheme val="minor"/>
    </font>
    <font>
      <sz val="17.0"/>
      <color theme="1"/>
      <name val="Arial"/>
      <scheme val="minor"/>
    </font>
    <font>
      <b/>
      <sz val="18.0"/>
      <color rgb="FF1A73E8"/>
      <name val="Arial"/>
      <scheme val="minor"/>
    </font>
    <font>
      <b/>
      <sz val="17.0"/>
      <color rgb="FF1A73E8"/>
      <name val="Arial"/>
      <scheme val="minor"/>
    </font>
    <font>
      <b/>
      <sz val="17.0"/>
      <color rgb="FF34A853"/>
      <name val="Arial"/>
      <scheme val="minor"/>
    </font>
    <font>
      <b/>
      <sz val="17.0"/>
      <color rgb="FFFBBC04"/>
      <name val="Arial"/>
      <scheme val="minor"/>
    </font>
    <font>
      <b/>
      <sz val="17.0"/>
      <color rgb="FFEA4335"/>
      <name val="Arial"/>
      <scheme val="minor"/>
    </font>
    <font>
      <b/>
      <sz val="17.0"/>
      <color rgb="FF9334E6"/>
      <name val="Arial"/>
      <scheme val="minor"/>
    </font>
    <font/>
    <font>
      <b/>
      <sz val="17.0"/>
      <color rgb="FFFFFFFF"/>
      <name val="Arial"/>
      <scheme val="minor"/>
    </font>
    <font>
      <b/>
      <sz val="18.0"/>
      <color rgb="FFFFFFFF"/>
      <name val="Arial"/>
      <scheme val="minor"/>
    </font>
    <font>
      <sz val="16.0"/>
      <color theme="1"/>
      <name val="Arial"/>
      <scheme val="minor"/>
    </font>
    <font>
      <b/>
      <sz val="16.0"/>
      <color rgb="FFFFFFFF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A73E8"/>
        <bgColor rgb="FF1A73E8"/>
      </patternFill>
    </fill>
    <fill>
      <patternFill patternType="solid">
        <fgColor rgb="FFF1F3F4"/>
        <bgColor rgb="FFF1F3F4"/>
      </patternFill>
    </fill>
    <fill>
      <patternFill patternType="solid">
        <fgColor rgb="FFE8F0FE"/>
        <bgColor rgb="FFE8F0FE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ill="1" applyFont="1">
      <alignment readingOrder="0"/>
    </xf>
    <xf borderId="0" fillId="2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8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9" numFmtId="0" xfId="0" applyFont="1"/>
    <xf borderId="0" fillId="0" fontId="7" numFmtId="0" xfId="0" applyAlignment="1" applyFont="1">
      <alignment readingOrder="0"/>
    </xf>
    <xf borderId="0" fillId="0" fontId="10" numFmtId="0" xfId="0" applyFont="1"/>
    <xf borderId="0" fillId="0" fontId="8" numFmtId="14" xfId="0" applyFont="1" applyNumberFormat="1"/>
    <xf borderId="0" fillId="0" fontId="11" numFmtId="0" xfId="0" applyFont="1"/>
    <xf borderId="0" fillId="3" fontId="11" numFmtId="0" xfId="0" applyAlignment="1" applyFill="1" applyFont="1">
      <alignment horizontal="center" readingOrder="0"/>
    </xf>
    <xf borderId="0" fillId="0" fontId="12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7" numFmtId="3" xfId="0" applyAlignment="1" applyFont="1" applyNumberFormat="1">
      <alignment readingOrder="0"/>
    </xf>
    <xf borderId="0" fillId="0" fontId="13" numFmtId="3" xfId="0" applyAlignment="1" applyFont="1" applyNumberFormat="1">
      <alignment horizontal="center"/>
    </xf>
    <xf borderId="0" fillId="0" fontId="14" numFmtId="3" xfId="0" applyAlignment="1" applyFont="1" applyNumberFormat="1">
      <alignment horizontal="center"/>
    </xf>
    <xf borderId="0" fillId="0" fontId="15" numFmtId="3" xfId="0" applyAlignment="1" applyFont="1" applyNumberFormat="1">
      <alignment horizontal="center"/>
    </xf>
    <xf borderId="0" fillId="0" fontId="16" numFmtId="3" xfId="0" applyAlignment="1" applyFont="1" applyNumberFormat="1">
      <alignment horizontal="center"/>
    </xf>
    <xf borderId="0" fillId="0" fontId="17" numFmtId="3" xfId="0" applyAlignment="1" applyFont="1" applyNumberFormat="1">
      <alignment horizontal="center"/>
    </xf>
    <xf borderId="1" fillId="4" fontId="8" numFmtId="0" xfId="0" applyAlignment="1" applyBorder="1" applyFill="1" applyFont="1">
      <alignment readingOrder="0"/>
    </xf>
    <xf borderId="2" fillId="0" fontId="18" numFmtId="0" xfId="0" applyBorder="1" applyFont="1"/>
    <xf borderId="3" fillId="0" fontId="18" numFmtId="0" xfId="0" applyBorder="1" applyFont="1"/>
    <xf borderId="4" fillId="3" fontId="8" numFmtId="0" xfId="0" applyAlignment="1" applyBorder="1" applyFill="1" applyFont="1">
      <alignment readingOrder="0"/>
    </xf>
    <xf borderId="4" fillId="0" fontId="11" numFmtId="0" xfId="0" applyAlignment="1" applyBorder="1" applyFont="1">
      <alignment readingOrder="0"/>
    </xf>
    <xf borderId="4" fillId="0" fontId="11" numFmtId="3" xfId="0" applyBorder="1" applyFont="1" applyNumberFormat="1"/>
    <xf borderId="4" fillId="0" fontId="11" numFmtId="0" xfId="0" applyBorder="1" applyFont="1"/>
    <xf borderId="4" fillId="0" fontId="8" numFmtId="0" xfId="0" applyAlignment="1" applyBorder="1" applyFont="1">
      <alignment readingOrder="0"/>
    </xf>
    <xf borderId="0" fillId="2" fontId="19" numFmtId="0" xfId="0" applyAlignment="1" applyFill="1" applyFont="1">
      <alignment readingOrder="0"/>
    </xf>
    <xf borderId="0" fillId="0" fontId="7" numFmtId="164" xfId="0" applyAlignment="1" applyFont="1" applyNumberFormat="1">
      <alignment readingOrder="0"/>
    </xf>
    <xf borderId="0" fillId="2" fontId="20" numFmtId="0" xfId="0" applyAlignment="1" applyFill="1" applyFont="1">
      <alignment readingOrder="0"/>
    </xf>
    <xf borderId="0" fillId="0" fontId="21" numFmtId="164" xfId="0" applyAlignment="1" applyFont="1" applyNumberFormat="1">
      <alignment readingOrder="0"/>
    </xf>
    <xf borderId="0" fillId="0" fontId="21" numFmtId="0" xfId="0" applyAlignment="1" applyFont="1">
      <alignment readingOrder="0"/>
    </xf>
    <xf borderId="0" fillId="0" fontId="21" numFmtId="0" xfId="0" applyFont="1"/>
    <xf borderId="0" fillId="2" fontId="22" numFmtId="0" xfId="0" applyAlignment="1" applyFill="1" applyFont="1">
      <alignment readingOrder="0"/>
    </xf>
    <xf borderId="0" fillId="0" fontId="7" numFmtId="164" xfId="0" applyAlignment="1" applyFont="1" applyNumberFormat="1">
      <alignment readingOrder="0"/>
    </xf>
    <xf borderId="0" fillId="0" fontId="7" numFmtId="3" xfId="0" applyFont="1" applyNumberFormat="1"/>
    <xf borderId="0" fillId="0" fontId="7" numFmtId="10" xfId="0" applyFont="1" applyNumberFormat="1"/>
    <xf borderId="0" fillId="0" fontId="9" numFmtId="165" xfId="0" applyAlignment="1" applyFont="1" applyNumberFormat="1">
      <alignment readingOrder="0"/>
    </xf>
    <xf borderId="0" fillId="0" fontId="9" numFmtId="3" xfId="0" applyFont="1" applyNumberFormat="1"/>
    <xf borderId="0" fillId="0" fontId="9" numFmtId="10" xfId="0" applyFont="1" applyNumberFormat="1"/>
    <xf borderId="0" fillId="0" fontId="21" numFmtId="0" xfId="0" applyAlignment="1" applyFont="1">
      <alignment readingOrder="0"/>
    </xf>
    <xf borderId="0" fillId="0" fontId="21" numFmtId="2" xfId="0" applyAlignment="1" applyFont="1" applyNumberFormat="1">
      <alignment readingOrder="0"/>
    </xf>
    <xf borderId="0" fillId="0" fontId="7" numFmtId="164" xfId="0" applyFont="1" applyNumberFormat="1"/>
    <xf borderId="0" fillId="0" fontId="23" numFmtId="0" xfId="0" applyAlignment="1" applyFont="1">
      <alignment readingOrder="0"/>
    </xf>
    <xf borderId="0" fillId="4" fontId="24" numFmtId="0" xfId="0" applyAlignment="1" applyFill="1" applyFont="1">
      <alignment readingOrder="0"/>
    </xf>
    <xf borderId="0" fillId="0" fontId="9" numFmtId="0" xfId="0" applyAlignment="1" applyFont="1">
      <alignment readingOrder="0"/>
    </xf>
    <xf borderId="0" fillId="0" fontId="7" numFmtId="20" xfId="0" applyAlignment="1" applyFont="1" applyNumberFormat="1">
      <alignment readingOrder="0"/>
    </xf>
    <xf borderId="0" fillId="0" fontId="9" numFmtId="165" xfId="0" applyFont="1" applyNumberFormat="1"/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63"/>
    <col customWidth="1" min="2" max="2" width="73.88"/>
  </cols>
  <sheetData>
    <row r="1">
      <c r="A1" s="4" t="s">
        <v>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6" t="s">
        <v>37</v>
      </c>
      <c r="B3" s="17" t="s">
        <v>39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6" t="s">
        <v>40</v>
      </c>
      <c r="B4" s="17" t="s">
        <v>41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6" t="s">
        <v>46</v>
      </c>
      <c r="B5" s="17" t="s">
        <v>47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6" t="s">
        <v>50</v>
      </c>
      <c r="B6" s="17" t="s">
        <v>51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6" t="s">
        <v>58</v>
      </c>
      <c r="B7" s="17" t="s">
        <v>59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6" t="s">
        <v>65</v>
      </c>
      <c r="B8" s="17" t="s">
        <v>66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6" t="s">
        <v>69</v>
      </c>
      <c r="B9" s="17" t="s">
        <v>70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6" t="s">
        <v>72</v>
      </c>
      <c r="B10" s="17" t="s">
        <v>74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6" t="s">
        <v>75</v>
      </c>
      <c r="B11" s="17" t="s">
        <v>76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6" t="s">
        <v>80</v>
      </c>
      <c r="B12" s="17" t="s">
        <v>82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6" t="s">
        <v>84</v>
      </c>
      <c r="B13" s="17" t="s">
        <v>85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6" t="s">
        <v>88</v>
      </c>
      <c r="B14" s="17" t="s">
        <v>89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6" t="s">
        <v>92</v>
      </c>
      <c r="B15" s="17" t="s">
        <v>93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6" t="s">
        <v>97</v>
      </c>
      <c r="B16" s="17" t="s">
        <v>99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6" t="s">
        <v>104</v>
      </c>
      <c r="B17" s="17" t="s">
        <v>105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7"/>
      <c r="B18" s="17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35.0"/>
    <col customWidth="1" min="2" max="2" width="29.5"/>
    <col customWidth="1" min="3" max="3" width="22.63"/>
    <col customWidth="1" min="4" max="4" width="21.75"/>
    <col customWidth="1" min="5" max="5" width="23.38"/>
    <col customWidth="1" min="7" max="7" width="11.13"/>
    <col customWidth="1" min="9" max="9" width="14.13"/>
  </cols>
  <sheetData>
    <row r="1">
      <c r="A1" s="1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8" t="s">
        <v>15</v>
      </c>
      <c r="B2" s="13">
        <f>TODAY()</f>
        <v>46257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8" t="s">
        <v>26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5" t="s">
        <v>30</v>
      </c>
      <c r="C5" s="15" t="s">
        <v>31</v>
      </c>
      <c r="E5" s="15" t="s">
        <v>32</v>
      </c>
      <c r="G5" s="15" t="s">
        <v>33</v>
      </c>
      <c r="I5" s="15" t="s">
        <v>35</v>
      </c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9">
        <f>SUMIFS(MASTER_SALES!G:G, MASTER_SALES!A:A, "&gt;="&amp;EOMONTH(TODAY(),-1)+1)</f>
        <v>735000</v>
      </c>
      <c r="C6" s="20">
        <f>SUMIFS(MASTER_SALES!G:G, MASTER_SALES!A:A, "&gt;="&amp;EOMONTH(TODAY(),-1)+1)-SUMIFS(MASTER_SALES!N:N, MASTER_SALES!A:A, "&gt;="&amp;EOMONTH(TODAY(),-1)+1)-SUMIFS('💰 EXPENSES'!F:F, '💰 EXPENSES'!A:A, "&gt;="&amp;EOMONTH(TODAY(),-1)+1)</f>
        <v>-478929.9967</v>
      </c>
      <c r="E6" s="21">
        <f>SUM('📦 INVENTORY'!G:G)</f>
        <v>4861529.79</v>
      </c>
      <c r="G6" s="22">
        <f>SUM('👥 FOUNDERS'!E:E, '👥 FOUNDERS'!F:F, '👥 FOUNDERS'!G:G, '👥 FOUNDERS'!H:H)</f>
        <v>966000</v>
      </c>
      <c r="I6" s="23">
        <f>SUMIFS(MASTER_SALES!G:G, MASTER_SALES!A:A, "="&amp;TODAY())</f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24" t="s">
        <v>103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6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27" t="s">
        <v>110</v>
      </c>
      <c r="B9" s="27" t="s">
        <v>111</v>
      </c>
      <c r="C9" s="27" t="s">
        <v>14</v>
      </c>
      <c r="D9" s="27" t="s">
        <v>112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28" t="s">
        <v>113</v>
      </c>
      <c r="B10" s="29">
        <f>SUMIFS('📊 SALES'!G:G, '📊 SALES'!H:H, "Pending") + SUMIFS('📊 SALES'!G:G, '📊 SALES'!H:H, "Partial") + SUMIFS('📊 SALES'!G:G, '📊 SALES'!H:H, "Credit")</f>
        <v>139000</v>
      </c>
      <c r="C10" s="30" t="str">
        <f>IF(B10&gt;0, "⚠️ Follow up", "✅ All Paid")</f>
        <v>⚠️ Follow up</v>
      </c>
      <c r="D10" s="30" t="str">
        <f>IF(B10&gt;0, "Contact customers", "No action needed")</f>
        <v>Contact customers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28" t="s">
        <v>114</v>
      </c>
      <c r="B11" s="29">
        <f>SUMIFS('💰 EXPENSES'!F:F, '💰 EXPENSES'!H:H, "Pending") + SUMIFS('💰 EXPENSES'!F:F, '💰 EXPENSES'!H:H, "Overdue")</f>
        <v>0</v>
      </c>
      <c r="C11" s="30"/>
      <c r="D11" s="30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28" t="s">
        <v>115</v>
      </c>
      <c r="B12" s="29">
        <f>SUMIFS('📦 INVENTORY'!G:G, '📦 INVENTORY'!L:L, "Pending") + SUMIFS('📦 INVENTORY'!G:G, '📦 INVENTORY'!L:L, "Overdue")</f>
        <v>0</v>
      </c>
      <c r="C12" s="30"/>
      <c r="D12" s="30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31" t="s">
        <v>116</v>
      </c>
      <c r="B13" s="29">
        <f>B11+B12</f>
        <v>0</v>
      </c>
      <c r="C13" s="30" t="str">
        <f>IF(B13&gt;0, "⚠️ Pay soon", "✅ No Payables")</f>
        <v>✅ No Payables</v>
      </c>
      <c r="D13" s="30" t="str">
        <f>IF(B13&gt;0, "Schedule payments", "No action needed")</f>
        <v>No action needed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28" t="s">
        <v>117</v>
      </c>
      <c r="B14" s="29">
        <f>B10-B13</f>
        <v>139000</v>
      </c>
      <c r="C14" s="30" t="str">
        <f>IF(B14&gt;0, "✅ Healthy", IF(B14&lt;0, "🔴 Review urgently", "✅ Balanced"))</f>
        <v>✅ Healthy</v>
      </c>
      <c r="D14" s="30" t="str">
        <f>IF(B14&lt;0, "Collect receivables faster", "On track")</f>
        <v>On track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12">
    <mergeCell ref="C6:D6"/>
    <mergeCell ref="E6:F6"/>
    <mergeCell ref="G6:H6"/>
    <mergeCell ref="I6:J6"/>
    <mergeCell ref="A1:M1"/>
    <mergeCell ref="A5:B5"/>
    <mergeCell ref="C5:D5"/>
    <mergeCell ref="E5:F5"/>
    <mergeCell ref="G5:H5"/>
    <mergeCell ref="I5:J5"/>
    <mergeCell ref="A6:B6"/>
    <mergeCell ref="A8:M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41.63"/>
    <col customWidth="1" min="3" max="3" width="25.88"/>
    <col customWidth="1" min="4" max="4" width="12.88"/>
    <col customWidth="1" min="5" max="5" width="12.0"/>
    <col customWidth="1" min="6" max="6" width="17.75"/>
  </cols>
  <sheetData>
    <row r="1">
      <c r="A1" s="3" t="s">
        <v>0</v>
      </c>
      <c r="B1" s="3" t="s">
        <v>5</v>
      </c>
      <c r="C1" s="3" t="s">
        <v>7</v>
      </c>
      <c r="D1" s="3" t="s">
        <v>9</v>
      </c>
      <c r="E1" s="3" t="s">
        <v>11</v>
      </c>
      <c r="F1" s="3" t="s">
        <v>13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9" t="s">
        <v>16</v>
      </c>
      <c r="B2" s="9" t="s">
        <v>17</v>
      </c>
      <c r="C2" s="9" t="s">
        <v>18</v>
      </c>
      <c r="D2" s="11">
        <v>500.0</v>
      </c>
      <c r="E2" s="9" t="b">
        <v>0</v>
      </c>
      <c r="F2" s="9" t="s">
        <v>19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9" t="s">
        <v>20</v>
      </c>
      <c r="B3" s="9" t="s">
        <v>21</v>
      </c>
      <c r="C3" s="9" t="s">
        <v>18</v>
      </c>
      <c r="D3" s="11">
        <v>1000.0</v>
      </c>
      <c r="E3" s="9" t="b">
        <v>0</v>
      </c>
      <c r="F3" s="9" t="s">
        <v>19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9" t="s">
        <v>22</v>
      </c>
      <c r="B4" s="9" t="s">
        <v>23</v>
      </c>
      <c r="C4" s="9" t="s">
        <v>18</v>
      </c>
      <c r="D4" s="11">
        <v>1000.0</v>
      </c>
      <c r="E4" s="9" t="b">
        <v>0</v>
      </c>
      <c r="F4" s="9" t="s">
        <v>19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9" t="s">
        <v>24</v>
      </c>
      <c r="B5" s="9" t="s">
        <v>25</v>
      </c>
      <c r="C5" s="9" t="s">
        <v>27</v>
      </c>
      <c r="D5" s="11">
        <v>2000.0</v>
      </c>
      <c r="E5" s="9" t="b">
        <v>1</v>
      </c>
      <c r="F5" s="9" t="s">
        <v>19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9" t="s">
        <v>28</v>
      </c>
      <c r="B6" s="9" t="s">
        <v>29</v>
      </c>
      <c r="C6" s="9" t="s">
        <v>27</v>
      </c>
      <c r="D6" s="11">
        <v>2000.0</v>
      </c>
      <c r="E6" s="9" t="b">
        <v>0</v>
      </c>
      <c r="F6" s="9" t="s">
        <v>19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9" t="s">
        <v>34</v>
      </c>
      <c r="B7" s="9" t="s">
        <v>36</v>
      </c>
      <c r="C7" s="9" t="s">
        <v>38</v>
      </c>
      <c r="D7" s="11">
        <v>5000.0</v>
      </c>
      <c r="E7" s="9" t="b">
        <v>1</v>
      </c>
      <c r="F7" s="9" t="s">
        <v>19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9" t="s">
        <v>42</v>
      </c>
      <c r="B8" s="9" t="s">
        <v>43</v>
      </c>
      <c r="C8" s="9" t="s">
        <v>44</v>
      </c>
      <c r="D8" s="11">
        <v>10000.0</v>
      </c>
      <c r="E8" s="9" t="b">
        <v>1</v>
      </c>
      <c r="F8" s="9" t="s">
        <v>19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9" t="s">
        <v>45</v>
      </c>
      <c r="B9" s="9" t="s">
        <v>48</v>
      </c>
      <c r="C9" s="9" t="s">
        <v>49</v>
      </c>
      <c r="D9" s="9">
        <v>12000.0</v>
      </c>
      <c r="E9" s="9" t="b">
        <v>1</v>
      </c>
      <c r="F9" s="9" t="s">
        <v>19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9" t="s">
        <v>52</v>
      </c>
      <c r="B10" s="9" t="s">
        <v>53</v>
      </c>
      <c r="C10" s="9" t="s">
        <v>54</v>
      </c>
      <c r="D10" s="9">
        <v>8000.0</v>
      </c>
      <c r="E10" s="9" t="b">
        <v>1</v>
      </c>
      <c r="F10" s="9" t="s">
        <v>19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9" t="s">
        <v>55</v>
      </c>
      <c r="B11" s="9" t="s">
        <v>56</v>
      </c>
      <c r="C11" s="9" t="s">
        <v>57</v>
      </c>
      <c r="D11" s="18">
        <v>60000.0</v>
      </c>
      <c r="E11" s="9" t="b">
        <v>1</v>
      </c>
      <c r="F11" s="9" t="s">
        <v>19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9" t="s">
        <v>60</v>
      </c>
      <c r="B12" s="9" t="s">
        <v>61</v>
      </c>
      <c r="C12" s="9" t="s">
        <v>62</v>
      </c>
      <c r="D12" s="9">
        <v>25000.0</v>
      </c>
      <c r="E12" s="9" t="b">
        <v>1</v>
      </c>
      <c r="F12" s="9" t="s">
        <v>19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9" t="s">
        <v>63</v>
      </c>
      <c r="B13" s="9" t="s">
        <v>64</v>
      </c>
      <c r="C13" s="9" t="s">
        <v>62</v>
      </c>
      <c r="D13" s="9">
        <v>25000.0</v>
      </c>
      <c r="E13" s="9" t="b">
        <v>1</v>
      </c>
      <c r="F13" s="9" t="s">
        <v>19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9" t="s">
        <v>67</v>
      </c>
      <c r="B14" s="9" t="s">
        <v>68</v>
      </c>
      <c r="C14" s="9" t="s">
        <v>62</v>
      </c>
      <c r="D14" s="9">
        <v>25000.0</v>
      </c>
      <c r="E14" s="9" t="b">
        <v>1</v>
      </c>
      <c r="F14" s="9" t="s">
        <v>19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9" t="s">
        <v>71</v>
      </c>
      <c r="B15" s="9" t="s">
        <v>73</v>
      </c>
      <c r="C15" s="9" t="s">
        <v>62</v>
      </c>
      <c r="D15" s="9">
        <v>25000.0</v>
      </c>
      <c r="E15" s="9" t="b">
        <v>1</v>
      </c>
      <c r="F15" s="9" t="s">
        <v>19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9" t="s">
        <v>77</v>
      </c>
      <c r="B16" s="9" t="s">
        <v>78</v>
      </c>
      <c r="C16" s="9" t="s">
        <v>79</v>
      </c>
      <c r="D16" s="18">
        <v>40000.0</v>
      </c>
      <c r="E16" s="9" t="b">
        <v>1</v>
      </c>
      <c r="F16" s="9" t="s">
        <v>19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9" t="s">
        <v>81</v>
      </c>
      <c r="B17" s="9" t="s">
        <v>83</v>
      </c>
      <c r="C17" s="9" t="s">
        <v>79</v>
      </c>
      <c r="D17" s="18">
        <v>40000.0</v>
      </c>
      <c r="E17" s="9" t="b">
        <v>1</v>
      </c>
      <c r="F17" s="9" t="s">
        <v>19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9" t="s">
        <v>86</v>
      </c>
      <c r="B18" s="9" t="s">
        <v>87</v>
      </c>
      <c r="C18" s="9" t="s">
        <v>79</v>
      </c>
      <c r="D18" s="18">
        <v>40000.0</v>
      </c>
      <c r="E18" s="9" t="b">
        <v>1</v>
      </c>
      <c r="F18" s="9" t="s">
        <v>19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9" t="s">
        <v>90</v>
      </c>
      <c r="B19" s="9" t="s">
        <v>91</v>
      </c>
      <c r="C19" s="9" t="s">
        <v>79</v>
      </c>
      <c r="D19" s="18">
        <v>40000.0</v>
      </c>
      <c r="E19" s="9" t="b">
        <v>1</v>
      </c>
      <c r="F19" s="9" t="s">
        <v>19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9" t="s">
        <v>94</v>
      </c>
      <c r="B20" s="9" t="s">
        <v>95</v>
      </c>
      <c r="C20" s="9" t="s">
        <v>96</v>
      </c>
      <c r="D20" s="18">
        <v>60000.0</v>
      </c>
      <c r="E20" s="9" t="b">
        <v>1</v>
      </c>
      <c r="F20" s="9" t="s">
        <v>19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9" t="s">
        <v>98</v>
      </c>
      <c r="B21" s="9" t="s">
        <v>100</v>
      </c>
      <c r="C21" s="9" t="s">
        <v>96</v>
      </c>
      <c r="D21" s="18">
        <v>60000.0</v>
      </c>
      <c r="E21" s="9" t="b">
        <v>1</v>
      </c>
      <c r="F21" s="9" t="s">
        <v>19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9" t="s">
        <v>101</v>
      </c>
      <c r="B22" s="9" t="s">
        <v>102</v>
      </c>
      <c r="C22" s="9" t="s">
        <v>96</v>
      </c>
      <c r="D22" s="18">
        <v>60000.0</v>
      </c>
      <c r="E22" s="9" t="b">
        <v>1</v>
      </c>
      <c r="F22" s="9" t="s">
        <v>19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9" t="s">
        <v>106</v>
      </c>
      <c r="B23" s="9" t="s">
        <v>107</v>
      </c>
      <c r="C23" s="9" t="s">
        <v>96</v>
      </c>
      <c r="D23" s="18">
        <v>60000.0</v>
      </c>
      <c r="E23" s="9" t="b">
        <v>1</v>
      </c>
      <c r="F23" s="9" t="s">
        <v>19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9" t="s">
        <v>108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9" t="s">
        <v>109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ataValidations>
    <dataValidation type="list" allowBlank="1" sqref="E2:E501">
      <formula1>"TRUE,FALSE"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20.25"/>
    <col customWidth="1" min="3" max="3" width="15.63"/>
    <col customWidth="1" min="4" max="4" width="17.13"/>
    <col customWidth="1" min="5" max="5" width="22.13"/>
    <col customWidth="1" min="6" max="6" width="21.13"/>
    <col customWidth="1" min="7" max="7" width="22.75"/>
    <col customWidth="1" min="8" max="8" width="19.25"/>
  </cols>
  <sheetData>
    <row r="1">
      <c r="A1" s="2" t="s">
        <v>1</v>
      </c>
      <c r="B1" s="2" t="s">
        <v>3</v>
      </c>
      <c r="C1" s="2" t="s">
        <v>4</v>
      </c>
      <c r="D1" s="2" t="s">
        <v>6</v>
      </c>
      <c r="E1" s="2" t="s">
        <v>8</v>
      </c>
      <c r="F1" s="2" t="s">
        <v>10</v>
      </c>
      <c r="G1" s="2" t="s">
        <v>12</v>
      </c>
      <c r="H1" s="2" t="s">
        <v>14</v>
      </c>
    </row>
    <row r="2">
      <c r="H2" s="10"/>
    </row>
    <row r="3">
      <c r="H3" s="10"/>
    </row>
    <row r="4">
      <c r="H4" s="10"/>
    </row>
    <row r="5">
      <c r="H5" s="10"/>
    </row>
    <row r="6">
      <c r="H6" s="10"/>
    </row>
    <row r="7">
      <c r="H7" s="10"/>
    </row>
    <row r="8">
      <c r="H8" s="10"/>
    </row>
    <row r="9">
      <c r="H9" s="10"/>
    </row>
    <row r="10">
      <c r="H10" s="10"/>
    </row>
    <row r="11">
      <c r="H11" s="10"/>
    </row>
    <row r="12">
      <c r="H12" s="10"/>
    </row>
    <row r="13">
      <c r="H13" s="10"/>
    </row>
    <row r="14">
      <c r="H14" s="10"/>
    </row>
    <row r="15">
      <c r="H15" s="10"/>
    </row>
    <row r="16">
      <c r="H16" s="10"/>
    </row>
    <row r="17">
      <c r="H17" s="10"/>
    </row>
    <row r="18">
      <c r="H18" s="10"/>
    </row>
    <row r="19">
      <c r="H19" s="10"/>
    </row>
    <row r="20">
      <c r="H20" s="10"/>
    </row>
    <row r="21">
      <c r="H21" s="10"/>
    </row>
    <row r="22">
      <c r="H22" s="10"/>
    </row>
    <row r="23">
      <c r="H23" s="10"/>
    </row>
    <row r="24">
      <c r="H24" s="10"/>
    </row>
    <row r="25">
      <c r="H25" s="10"/>
    </row>
    <row r="26">
      <c r="H26" s="10"/>
    </row>
    <row r="27">
      <c r="H27" s="10"/>
    </row>
    <row r="28">
      <c r="H28" s="10"/>
    </row>
    <row r="29">
      <c r="H29" s="10"/>
    </row>
    <row r="30">
      <c r="H30" s="10"/>
    </row>
    <row r="31">
      <c r="H31" s="10"/>
    </row>
    <row r="32">
      <c r="H32" s="10"/>
    </row>
    <row r="33">
      <c r="H33" s="10"/>
    </row>
    <row r="34">
      <c r="H34" s="10"/>
    </row>
    <row r="35">
      <c r="H35" s="10"/>
    </row>
    <row r="36">
      <c r="H36" s="10"/>
    </row>
    <row r="37">
      <c r="H37" s="10"/>
    </row>
    <row r="38">
      <c r="H38" s="10"/>
    </row>
    <row r="39">
      <c r="H39" s="10"/>
    </row>
    <row r="40">
      <c r="H40" s="10"/>
    </row>
    <row r="41">
      <c r="H41" s="10"/>
    </row>
    <row r="42">
      <c r="H42" s="10"/>
    </row>
    <row r="43">
      <c r="H43" s="10"/>
    </row>
    <row r="44">
      <c r="H44" s="10"/>
    </row>
    <row r="45">
      <c r="H45" s="10"/>
    </row>
    <row r="46">
      <c r="H46" s="10"/>
    </row>
    <row r="47">
      <c r="H47" s="10"/>
    </row>
    <row r="48">
      <c r="H48" s="10"/>
    </row>
    <row r="49">
      <c r="H49" s="10"/>
    </row>
    <row r="50">
      <c r="H50" s="10"/>
    </row>
    <row r="51">
      <c r="H51" s="10"/>
    </row>
    <row r="52">
      <c r="H52" s="10"/>
    </row>
    <row r="53">
      <c r="H53" s="10"/>
    </row>
    <row r="54">
      <c r="H54" s="10"/>
    </row>
    <row r="55">
      <c r="H55" s="10"/>
    </row>
    <row r="56">
      <c r="H56" s="10"/>
    </row>
    <row r="57">
      <c r="H57" s="10"/>
    </row>
    <row r="58">
      <c r="H58" s="10"/>
    </row>
    <row r="59">
      <c r="H59" s="10"/>
    </row>
    <row r="60">
      <c r="H60" s="10"/>
    </row>
    <row r="61">
      <c r="H61" s="10"/>
    </row>
    <row r="62">
      <c r="H62" s="10"/>
    </row>
    <row r="63">
      <c r="H63" s="10"/>
    </row>
    <row r="64">
      <c r="H64" s="10"/>
    </row>
    <row r="65">
      <c r="H65" s="10"/>
    </row>
    <row r="66">
      <c r="H66" s="10"/>
    </row>
    <row r="67">
      <c r="H67" s="10"/>
    </row>
    <row r="68">
      <c r="H68" s="10"/>
    </row>
    <row r="69">
      <c r="H69" s="10"/>
    </row>
    <row r="70">
      <c r="H70" s="10"/>
    </row>
    <row r="71">
      <c r="H71" s="10"/>
    </row>
    <row r="72">
      <c r="H72" s="10"/>
    </row>
    <row r="73">
      <c r="H73" s="10"/>
    </row>
    <row r="74">
      <c r="H74" s="10"/>
    </row>
    <row r="75">
      <c r="H75" s="10"/>
    </row>
    <row r="76">
      <c r="H76" s="10"/>
    </row>
    <row r="77">
      <c r="H77" s="10"/>
    </row>
    <row r="78">
      <c r="H78" s="10"/>
    </row>
    <row r="79">
      <c r="H79" s="10"/>
    </row>
    <row r="80">
      <c r="H80" s="10"/>
    </row>
    <row r="81">
      <c r="H81" s="10"/>
    </row>
    <row r="82">
      <c r="H82" s="10"/>
    </row>
    <row r="83">
      <c r="H83" s="10"/>
    </row>
    <row r="84">
      <c r="H84" s="10"/>
    </row>
    <row r="85">
      <c r="H85" s="10"/>
    </row>
    <row r="86">
      <c r="H86" s="10"/>
    </row>
    <row r="87">
      <c r="H87" s="10"/>
    </row>
    <row r="88">
      <c r="H88" s="10"/>
    </row>
    <row r="89">
      <c r="H89" s="10"/>
    </row>
    <row r="90">
      <c r="H90" s="10"/>
    </row>
    <row r="91">
      <c r="H91" s="10"/>
    </row>
    <row r="92">
      <c r="H92" s="10"/>
    </row>
    <row r="93">
      <c r="H93" s="10"/>
    </row>
    <row r="94">
      <c r="H94" s="10"/>
    </row>
    <row r="95">
      <c r="H95" s="10"/>
    </row>
    <row r="96">
      <c r="H96" s="10"/>
    </row>
    <row r="97">
      <c r="H97" s="10"/>
    </row>
    <row r="98">
      <c r="H98" s="10"/>
    </row>
    <row r="99">
      <c r="H99" s="10"/>
    </row>
    <row r="100">
      <c r="H100" s="10"/>
    </row>
    <row r="101">
      <c r="H101" s="10"/>
    </row>
    <row r="102">
      <c r="H102" s="10"/>
    </row>
    <row r="103">
      <c r="H103" s="10"/>
    </row>
    <row r="104">
      <c r="H104" s="10"/>
    </row>
    <row r="105">
      <c r="H105" s="10"/>
    </row>
    <row r="106">
      <c r="H106" s="10"/>
    </row>
    <row r="107">
      <c r="H107" s="10"/>
    </row>
    <row r="108">
      <c r="H108" s="10"/>
    </row>
    <row r="109">
      <c r="H109" s="10"/>
    </row>
    <row r="110">
      <c r="H110" s="10"/>
    </row>
    <row r="111">
      <c r="H111" s="10"/>
    </row>
    <row r="112">
      <c r="H112" s="10"/>
    </row>
    <row r="113">
      <c r="H113" s="10"/>
    </row>
    <row r="114">
      <c r="H114" s="10"/>
    </row>
    <row r="115">
      <c r="H115" s="10"/>
    </row>
    <row r="116">
      <c r="H116" s="10"/>
    </row>
    <row r="117">
      <c r="H117" s="10"/>
    </row>
    <row r="118">
      <c r="H118" s="10"/>
    </row>
    <row r="119">
      <c r="H119" s="10"/>
    </row>
    <row r="120">
      <c r="H120" s="10"/>
    </row>
    <row r="121">
      <c r="H121" s="10"/>
    </row>
    <row r="122">
      <c r="H122" s="10"/>
    </row>
    <row r="123">
      <c r="H123" s="10"/>
    </row>
    <row r="124">
      <c r="H124" s="10"/>
    </row>
    <row r="125">
      <c r="H125" s="10"/>
    </row>
    <row r="126">
      <c r="H126" s="10"/>
    </row>
    <row r="127">
      <c r="H127" s="10"/>
    </row>
    <row r="128">
      <c r="H128" s="10"/>
    </row>
    <row r="129">
      <c r="H129" s="10"/>
    </row>
    <row r="130">
      <c r="H130" s="10"/>
    </row>
    <row r="131">
      <c r="H131" s="10"/>
    </row>
    <row r="132">
      <c r="H132" s="10"/>
    </row>
    <row r="133">
      <c r="H133" s="10"/>
    </row>
    <row r="134">
      <c r="H134" s="10"/>
    </row>
    <row r="135">
      <c r="H135" s="10"/>
    </row>
    <row r="136">
      <c r="H136" s="10"/>
    </row>
    <row r="137">
      <c r="H137" s="10"/>
    </row>
    <row r="138">
      <c r="H138" s="10"/>
    </row>
    <row r="139">
      <c r="H139" s="10"/>
    </row>
    <row r="140">
      <c r="H140" s="10"/>
    </row>
    <row r="141">
      <c r="H141" s="10"/>
    </row>
    <row r="142">
      <c r="H142" s="10"/>
    </row>
    <row r="143">
      <c r="H143" s="10"/>
    </row>
    <row r="144">
      <c r="H144" s="10"/>
    </row>
    <row r="145">
      <c r="H145" s="10"/>
    </row>
    <row r="146">
      <c r="H146" s="10"/>
    </row>
    <row r="147">
      <c r="H147" s="10"/>
    </row>
    <row r="148">
      <c r="H148" s="10"/>
    </row>
    <row r="149">
      <c r="H149" s="10"/>
    </row>
    <row r="150">
      <c r="H150" s="10"/>
    </row>
    <row r="151">
      <c r="H151" s="10"/>
    </row>
    <row r="152">
      <c r="H152" s="10"/>
    </row>
    <row r="153">
      <c r="H153" s="10"/>
    </row>
    <row r="154">
      <c r="H154" s="10"/>
    </row>
    <row r="155">
      <c r="H155" s="10"/>
    </row>
    <row r="156">
      <c r="H156" s="10"/>
    </row>
    <row r="157">
      <c r="H157" s="10"/>
    </row>
    <row r="158">
      <c r="H158" s="10"/>
    </row>
    <row r="159">
      <c r="H159" s="10"/>
    </row>
    <row r="160">
      <c r="H160" s="10"/>
    </row>
    <row r="161">
      <c r="H161" s="10"/>
    </row>
    <row r="162">
      <c r="H162" s="10"/>
    </row>
    <row r="163">
      <c r="H163" s="10"/>
    </row>
    <row r="164">
      <c r="H164" s="10"/>
    </row>
    <row r="165">
      <c r="H165" s="10"/>
    </row>
    <row r="166">
      <c r="H166" s="10"/>
    </row>
    <row r="167">
      <c r="H167" s="10"/>
    </row>
    <row r="168">
      <c r="H168" s="10"/>
    </row>
    <row r="169">
      <c r="H169" s="10"/>
    </row>
    <row r="170">
      <c r="H170" s="10"/>
    </row>
    <row r="171">
      <c r="H171" s="10"/>
    </row>
    <row r="172">
      <c r="H172" s="10"/>
    </row>
    <row r="173">
      <c r="H173" s="10"/>
    </row>
    <row r="174">
      <c r="H174" s="10"/>
    </row>
    <row r="175">
      <c r="H175" s="10"/>
    </row>
    <row r="176">
      <c r="H176" s="10"/>
    </row>
    <row r="177">
      <c r="H177" s="10"/>
    </row>
    <row r="178">
      <c r="H178" s="10"/>
    </row>
    <row r="179">
      <c r="H179" s="10"/>
    </row>
    <row r="180">
      <c r="H180" s="10"/>
    </row>
    <row r="181">
      <c r="H181" s="10"/>
    </row>
    <row r="182">
      <c r="H182" s="10"/>
    </row>
    <row r="183">
      <c r="H183" s="10"/>
    </row>
    <row r="184">
      <c r="H184" s="10"/>
    </row>
    <row r="185">
      <c r="H185" s="10"/>
    </row>
    <row r="186">
      <c r="H186" s="10"/>
    </row>
    <row r="187">
      <c r="H187" s="10"/>
    </row>
    <row r="188">
      <c r="H188" s="10"/>
    </row>
    <row r="189">
      <c r="H189" s="10"/>
    </row>
    <row r="190">
      <c r="H190" s="10"/>
    </row>
    <row r="191">
      <c r="H191" s="10"/>
    </row>
    <row r="192">
      <c r="H192" s="10"/>
    </row>
    <row r="193">
      <c r="H193" s="10"/>
    </row>
    <row r="194">
      <c r="H194" s="10"/>
    </row>
    <row r="195">
      <c r="H195" s="10"/>
    </row>
    <row r="196">
      <c r="H196" s="10"/>
    </row>
    <row r="197">
      <c r="H197" s="10"/>
    </row>
    <row r="198">
      <c r="H198" s="10"/>
    </row>
    <row r="199">
      <c r="H199" s="10"/>
    </row>
    <row r="200">
      <c r="H200" s="10"/>
    </row>
    <row r="201">
      <c r="H201" s="10"/>
    </row>
    <row r="202">
      <c r="H202" s="10"/>
    </row>
    <row r="203">
      <c r="H203" s="10"/>
    </row>
    <row r="204">
      <c r="H204" s="10"/>
    </row>
    <row r="205">
      <c r="H205" s="10"/>
    </row>
    <row r="206">
      <c r="H206" s="10"/>
    </row>
    <row r="207">
      <c r="H207" s="10"/>
    </row>
    <row r="208">
      <c r="H208" s="10"/>
    </row>
    <row r="209">
      <c r="H209" s="10"/>
    </row>
    <row r="210">
      <c r="H210" s="10"/>
    </row>
    <row r="211">
      <c r="H211" s="10"/>
    </row>
    <row r="212">
      <c r="H212" s="10"/>
    </row>
    <row r="213">
      <c r="H213" s="10"/>
    </row>
    <row r="214">
      <c r="H214" s="10"/>
    </row>
    <row r="215">
      <c r="H215" s="10"/>
    </row>
    <row r="216">
      <c r="H216" s="10"/>
    </row>
    <row r="217">
      <c r="H217" s="10"/>
    </row>
    <row r="218">
      <c r="H218" s="10"/>
    </row>
    <row r="219">
      <c r="H219" s="10"/>
    </row>
    <row r="220">
      <c r="H220" s="10"/>
    </row>
    <row r="221">
      <c r="H221" s="10"/>
    </row>
    <row r="222">
      <c r="H222" s="10"/>
    </row>
    <row r="223">
      <c r="H223" s="10"/>
    </row>
    <row r="224">
      <c r="H224" s="10"/>
    </row>
    <row r="225">
      <c r="H225" s="10"/>
    </row>
    <row r="226">
      <c r="H226" s="10"/>
    </row>
    <row r="227">
      <c r="H227" s="10"/>
    </row>
    <row r="228">
      <c r="H228" s="10"/>
    </row>
    <row r="229">
      <c r="H229" s="10"/>
    </row>
    <row r="230">
      <c r="H230" s="10"/>
    </row>
    <row r="231">
      <c r="H231" s="10"/>
    </row>
    <row r="232">
      <c r="H232" s="10"/>
    </row>
    <row r="233">
      <c r="H233" s="10"/>
    </row>
    <row r="234">
      <c r="H234" s="10"/>
    </row>
    <row r="235">
      <c r="H235" s="10"/>
    </row>
    <row r="236">
      <c r="H236" s="10"/>
    </row>
    <row r="237">
      <c r="H237" s="10"/>
    </row>
    <row r="238">
      <c r="H238" s="10"/>
    </row>
    <row r="239">
      <c r="H239" s="10"/>
    </row>
    <row r="240">
      <c r="H240" s="10"/>
    </row>
    <row r="241">
      <c r="H241" s="10"/>
    </row>
    <row r="242">
      <c r="H242" s="10"/>
    </row>
    <row r="243">
      <c r="H243" s="10"/>
    </row>
    <row r="244">
      <c r="H244" s="10"/>
    </row>
    <row r="245">
      <c r="H245" s="10"/>
    </row>
    <row r="246">
      <c r="H246" s="10"/>
    </row>
    <row r="247">
      <c r="H247" s="10"/>
    </row>
    <row r="248">
      <c r="H248" s="10"/>
    </row>
    <row r="249">
      <c r="H249" s="10"/>
    </row>
    <row r="250">
      <c r="H250" s="10"/>
    </row>
    <row r="251">
      <c r="H251" s="10"/>
    </row>
    <row r="252">
      <c r="H252" s="10"/>
    </row>
    <row r="253">
      <c r="H253" s="10"/>
    </row>
    <row r="254">
      <c r="H254" s="10"/>
    </row>
    <row r="255">
      <c r="H255" s="10"/>
    </row>
    <row r="256">
      <c r="H256" s="10"/>
    </row>
    <row r="257">
      <c r="H257" s="10"/>
    </row>
    <row r="258">
      <c r="H258" s="10"/>
    </row>
    <row r="259">
      <c r="H259" s="10"/>
    </row>
    <row r="260">
      <c r="H260" s="10"/>
    </row>
    <row r="261">
      <c r="H261" s="10"/>
    </row>
    <row r="262">
      <c r="H262" s="10"/>
    </row>
    <row r="263">
      <c r="H263" s="10"/>
    </row>
    <row r="264">
      <c r="H264" s="10"/>
    </row>
    <row r="265">
      <c r="H265" s="10"/>
    </row>
    <row r="266">
      <c r="H266" s="10"/>
    </row>
    <row r="267">
      <c r="H267" s="10"/>
    </row>
    <row r="268">
      <c r="H268" s="10"/>
    </row>
    <row r="269">
      <c r="H269" s="10"/>
    </row>
    <row r="270">
      <c r="H270" s="10"/>
    </row>
    <row r="271">
      <c r="H271" s="10"/>
    </row>
    <row r="272">
      <c r="H272" s="10"/>
    </row>
    <row r="273">
      <c r="H273" s="10"/>
    </row>
    <row r="274">
      <c r="H274" s="10"/>
    </row>
    <row r="275">
      <c r="H275" s="10"/>
    </row>
    <row r="276">
      <c r="H276" s="10"/>
    </row>
    <row r="277">
      <c r="H277" s="10"/>
    </row>
    <row r="278">
      <c r="H278" s="10"/>
    </row>
    <row r="279">
      <c r="H279" s="10"/>
    </row>
    <row r="280">
      <c r="H280" s="10"/>
    </row>
    <row r="281">
      <c r="H281" s="10"/>
    </row>
    <row r="282">
      <c r="H282" s="10"/>
    </row>
    <row r="283">
      <c r="H283" s="10"/>
    </row>
    <row r="284">
      <c r="H284" s="10"/>
    </row>
    <row r="285">
      <c r="H285" s="10"/>
    </row>
    <row r="286">
      <c r="H286" s="10"/>
    </row>
    <row r="287">
      <c r="H287" s="10"/>
    </row>
    <row r="288">
      <c r="H288" s="10"/>
    </row>
    <row r="289">
      <c r="H289" s="10"/>
    </row>
    <row r="290">
      <c r="H290" s="10"/>
    </row>
    <row r="291">
      <c r="H291" s="10"/>
    </row>
    <row r="292">
      <c r="H292" s="10"/>
    </row>
    <row r="293">
      <c r="H293" s="10"/>
    </row>
    <row r="294">
      <c r="H294" s="10"/>
    </row>
    <row r="295">
      <c r="H295" s="10"/>
    </row>
    <row r="296">
      <c r="H296" s="10"/>
    </row>
    <row r="297">
      <c r="H297" s="10"/>
    </row>
    <row r="298">
      <c r="H298" s="10"/>
    </row>
    <row r="299">
      <c r="H299" s="10"/>
    </row>
    <row r="300">
      <c r="H300" s="10"/>
    </row>
    <row r="301">
      <c r="H301" s="10"/>
    </row>
    <row r="302">
      <c r="H302" s="10"/>
    </row>
    <row r="303">
      <c r="H303" s="10"/>
    </row>
    <row r="304">
      <c r="H304" s="10"/>
    </row>
    <row r="305">
      <c r="H305" s="10"/>
    </row>
    <row r="306">
      <c r="H306" s="10"/>
    </row>
    <row r="307">
      <c r="H307" s="10"/>
    </row>
    <row r="308">
      <c r="H308" s="10"/>
    </row>
    <row r="309">
      <c r="H309" s="10"/>
    </row>
    <row r="310">
      <c r="H310" s="10"/>
    </row>
    <row r="311">
      <c r="H311" s="10"/>
    </row>
    <row r="312">
      <c r="H312" s="10"/>
    </row>
    <row r="313">
      <c r="H313" s="10"/>
    </row>
    <row r="314">
      <c r="H314" s="10"/>
    </row>
    <row r="315">
      <c r="H315" s="10"/>
    </row>
    <row r="316">
      <c r="H316" s="10"/>
    </row>
    <row r="317">
      <c r="H317" s="10"/>
    </row>
    <row r="318">
      <c r="H318" s="10"/>
    </row>
    <row r="319">
      <c r="H319" s="10"/>
    </row>
    <row r="320">
      <c r="H320" s="10"/>
    </row>
    <row r="321">
      <c r="H321" s="10"/>
    </row>
    <row r="322">
      <c r="H322" s="10"/>
    </row>
    <row r="323">
      <c r="H323" s="10"/>
    </row>
    <row r="324">
      <c r="H324" s="10"/>
    </row>
    <row r="325">
      <c r="H325" s="10"/>
    </row>
    <row r="326">
      <c r="H326" s="10"/>
    </row>
    <row r="327">
      <c r="H327" s="10"/>
    </row>
    <row r="328">
      <c r="H328" s="10"/>
    </row>
    <row r="329">
      <c r="H329" s="10"/>
    </row>
    <row r="330">
      <c r="H330" s="10"/>
    </row>
    <row r="331">
      <c r="H331" s="10"/>
    </row>
    <row r="332">
      <c r="H332" s="10"/>
    </row>
    <row r="333">
      <c r="H333" s="10"/>
    </row>
    <row r="334">
      <c r="H334" s="10"/>
    </row>
    <row r="335">
      <c r="H335" s="10"/>
    </row>
    <row r="336">
      <c r="H336" s="10"/>
    </row>
    <row r="337">
      <c r="H337" s="10"/>
    </row>
    <row r="338">
      <c r="H338" s="10"/>
    </row>
    <row r="339">
      <c r="H339" s="10"/>
    </row>
    <row r="340">
      <c r="H340" s="10"/>
    </row>
    <row r="341">
      <c r="H341" s="10"/>
    </row>
    <row r="342">
      <c r="H342" s="10"/>
    </row>
    <row r="343">
      <c r="H343" s="10"/>
    </row>
    <row r="344">
      <c r="H344" s="10"/>
    </row>
    <row r="345">
      <c r="H345" s="10"/>
    </row>
    <row r="346">
      <c r="H346" s="10"/>
    </row>
    <row r="347">
      <c r="H347" s="10"/>
    </row>
    <row r="348">
      <c r="H348" s="10"/>
    </row>
    <row r="349">
      <c r="H349" s="10"/>
    </row>
    <row r="350">
      <c r="H350" s="10"/>
    </row>
    <row r="351">
      <c r="H351" s="10"/>
    </row>
    <row r="352">
      <c r="H352" s="10"/>
    </row>
    <row r="353">
      <c r="H353" s="10"/>
    </row>
    <row r="354">
      <c r="H354" s="10"/>
    </row>
    <row r="355">
      <c r="H355" s="10"/>
    </row>
    <row r="356">
      <c r="H356" s="10"/>
    </row>
    <row r="357">
      <c r="H357" s="10"/>
    </row>
    <row r="358">
      <c r="H358" s="10"/>
    </row>
    <row r="359">
      <c r="H359" s="10"/>
    </row>
    <row r="360">
      <c r="H360" s="10"/>
    </row>
    <row r="361">
      <c r="H361" s="10"/>
    </row>
    <row r="362">
      <c r="H362" s="10"/>
    </row>
    <row r="363">
      <c r="H363" s="10"/>
    </row>
    <row r="364">
      <c r="H364" s="10"/>
    </row>
    <row r="365">
      <c r="H365" s="10"/>
    </row>
    <row r="366">
      <c r="H366" s="10"/>
    </row>
    <row r="367">
      <c r="H367" s="10"/>
    </row>
    <row r="368">
      <c r="H368" s="10"/>
    </row>
    <row r="369">
      <c r="H369" s="10"/>
    </row>
    <row r="370">
      <c r="H370" s="10"/>
    </row>
    <row r="371">
      <c r="H371" s="10"/>
    </row>
    <row r="372">
      <c r="H372" s="10"/>
    </row>
    <row r="373">
      <c r="H373" s="10"/>
    </row>
    <row r="374">
      <c r="H374" s="10"/>
    </row>
    <row r="375">
      <c r="H375" s="10"/>
    </row>
    <row r="376">
      <c r="H376" s="10"/>
    </row>
    <row r="377">
      <c r="H377" s="10"/>
    </row>
    <row r="378">
      <c r="H378" s="10"/>
    </row>
    <row r="379">
      <c r="H379" s="10"/>
    </row>
    <row r="380">
      <c r="H380" s="10"/>
    </row>
    <row r="381">
      <c r="H381" s="10"/>
    </row>
    <row r="382">
      <c r="H382" s="10"/>
    </row>
    <row r="383">
      <c r="H383" s="10"/>
    </row>
    <row r="384">
      <c r="H384" s="10"/>
    </row>
    <row r="385">
      <c r="H385" s="10"/>
    </row>
    <row r="386">
      <c r="H386" s="10"/>
    </row>
    <row r="387">
      <c r="H387" s="10"/>
    </row>
    <row r="388">
      <c r="H388" s="10"/>
    </row>
    <row r="389">
      <c r="H389" s="10"/>
    </row>
    <row r="390">
      <c r="H390" s="10"/>
    </row>
    <row r="391">
      <c r="H391" s="10"/>
    </row>
    <row r="392">
      <c r="H392" s="10"/>
    </row>
    <row r="393">
      <c r="H393" s="10"/>
    </row>
    <row r="394">
      <c r="H394" s="10"/>
    </row>
    <row r="395">
      <c r="H395" s="10"/>
    </row>
    <row r="396">
      <c r="H396" s="10"/>
    </row>
    <row r="397">
      <c r="H397" s="10"/>
    </row>
    <row r="398">
      <c r="H398" s="10"/>
    </row>
    <row r="399">
      <c r="H399" s="10"/>
    </row>
    <row r="400">
      <c r="H400" s="10"/>
    </row>
    <row r="401">
      <c r="H401" s="10"/>
    </row>
    <row r="402">
      <c r="H402" s="10"/>
    </row>
    <row r="403">
      <c r="H403" s="10"/>
    </row>
    <row r="404">
      <c r="H404" s="10"/>
    </row>
    <row r="405">
      <c r="H405" s="10"/>
    </row>
    <row r="406">
      <c r="H406" s="10"/>
    </row>
    <row r="407">
      <c r="H407" s="10"/>
    </row>
    <row r="408">
      <c r="H408" s="10"/>
    </row>
    <row r="409">
      <c r="H409" s="10"/>
    </row>
    <row r="410">
      <c r="H410" s="10"/>
    </row>
    <row r="411">
      <c r="H411" s="10"/>
    </row>
    <row r="412">
      <c r="H412" s="10"/>
    </row>
    <row r="413">
      <c r="H413" s="10"/>
    </row>
    <row r="414">
      <c r="H414" s="10"/>
    </row>
    <row r="415">
      <c r="H415" s="10"/>
    </row>
    <row r="416">
      <c r="H416" s="10"/>
    </row>
    <row r="417">
      <c r="H417" s="10"/>
    </row>
    <row r="418">
      <c r="H418" s="10"/>
    </row>
    <row r="419">
      <c r="H419" s="10"/>
    </row>
    <row r="420">
      <c r="H420" s="10"/>
    </row>
    <row r="421">
      <c r="H421" s="10"/>
    </row>
    <row r="422">
      <c r="H422" s="10"/>
    </row>
    <row r="423">
      <c r="H423" s="10"/>
    </row>
    <row r="424">
      <c r="H424" s="10"/>
    </row>
    <row r="425">
      <c r="H425" s="10"/>
    </row>
    <row r="426">
      <c r="H426" s="10"/>
    </row>
    <row r="427">
      <c r="H427" s="10"/>
    </row>
    <row r="428">
      <c r="H428" s="10"/>
    </row>
    <row r="429">
      <c r="H429" s="10"/>
    </row>
    <row r="430">
      <c r="H430" s="10"/>
    </row>
    <row r="431">
      <c r="H431" s="10"/>
    </row>
    <row r="432">
      <c r="H432" s="10"/>
    </row>
    <row r="433">
      <c r="H433" s="10"/>
    </row>
    <row r="434">
      <c r="H434" s="10"/>
    </row>
    <row r="435">
      <c r="H435" s="10"/>
    </row>
    <row r="436">
      <c r="H436" s="10"/>
    </row>
    <row r="437">
      <c r="H437" s="10"/>
    </row>
    <row r="438">
      <c r="H438" s="10"/>
    </row>
    <row r="439">
      <c r="H439" s="10"/>
    </row>
    <row r="440">
      <c r="H440" s="10"/>
    </row>
    <row r="441">
      <c r="H441" s="10"/>
    </row>
    <row r="442">
      <c r="H442" s="10"/>
    </row>
    <row r="443">
      <c r="H443" s="10"/>
    </row>
    <row r="444">
      <c r="H444" s="10"/>
    </row>
    <row r="445">
      <c r="H445" s="10"/>
    </row>
    <row r="446">
      <c r="H446" s="10"/>
    </row>
    <row r="447">
      <c r="H447" s="10"/>
    </row>
    <row r="448">
      <c r="H448" s="10"/>
    </row>
    <row r="449">
      <c r="H449" s="10"/>
    </row>
    <row r="450">
      <c r="H450" s="10"/>
    </row>
    <row r="451">
      <c r="H451" s="10"/>
    </row>
    <row r="452">
      <c r="H452" s="10"/>
    </row>
    <row r="453">
      <c r="H453" s="10"/>
    </row>
    <row r="454">
      <c r="H454" s="10"/>
    </row>
    <row r="455">
      <c r="H455" s="10"/>
    </row>
    <row r="456">
      <c r="H456" s="10"/>
    </row>
    <row r="457">
      <c r="H457" s="10"/>
    </row>
    <row r="458">
      <c r="H458" s="10"/>
    </row>
    <row r="459">
      <c r="H459" s="10"/>
    </row>
    <row r="460">
      <c r="H460" s="10"/>
    </row>
    <row r="461">
      <c r="H461" s="10"/>
    </row>
    <row r="462">
      <c r="H462" s="10"/>
    </row>
    <row r="463">
      <c r="H463" s="10"/>
    </row>
    <row r="464">
      <c r="H464" s="10"/>
    </row>
    <row r="465">
      <c r="H465" s="10"/>
    </row>
    <row r="466">
      <c r="H466" s="10"/>
    </row>
    <row r="467">
      <c r="H467" s="10"/>
    </row>
    <row r="468">
      <c r="H468" s="10"/>
    </row>
    <row r="469">
      <c r="H469" s="10"/>
    </row>
    <row r="470">
      <c r="H470" s="10"/>
    </row>
    <row r="471">
      <c r="H471" s="10"/>
    </row>
    <row r="472">
      <c r="H472" s="10"/>
    </row>
    <row r="473">
      <c r="H473" s="10"/>
    </row>
    <row r="474">
      <c r="H474" s="10"/>
    </row>
    <row r="475">
      <c r="H475" s="10"/>
    </row>
    <row r="476">
      <c r="H476" s="10"/>
    </row>
    <row r="477">
      <c r="H477" s="10"/>
    </row>
    <row r="478">
      <c r="H478" s="10"/>
    </row>
    <row r="479">
      <c r="H479" s="10"/>
    </row>
    <row r="480">
      <c r="H480" s="10"/>
    </row>
    <row r="481">
      <c r="H481" s="10"/>
    </row>
    <row r="482">
      <c r="H482" s="10"/>
    </row>
    <row r="483">
      <c r="H483" s="10"/>
    </row>
    <row r="484">
      <c r="H484" s="10"/>
    </row>
    <row r="485">
      <c r="H485" s="10"/>
    </row>
    <row r="486">
      <c r="H486" s="10"/>
    </row>
    <row r="487">
      <c r="H487" s="10"/>
    </row>
    <row r="488">
      <c r="H488" s="10"/>
    </row>
    <row r="489">
      <c r="H489" s="10"/>
    </row>
    <row r="490">
      <c r="H490" s="10"/>
    </row>
    <row r="491">
      <c r="H491" s="10"/>
    </row>
    <row r="492">
      <c r="H492" s="10"/>
    </row>
    <row r="493">
      <c r="H493" s="10"/>
    </row>
    <row r="494">
      <c r="H494" s="10"/>
    </row>
    <row r="495">
      <c r="H495" s="10"/>
    </row>
    <row r="496">
      <c r="H496" s="10"/>
    </row>
    <row r="497">
      <c r="H497" s="10"/>
    </row>
    <row r="498">
      <c r="H498" s="10"/>
    </row>
    <row r="499">
      <c r="H499" s="10"/>
    </row>
    <row r="500">
      <c r="H500" s="10"/>
    </row>
    <row r="501">
      <c r="H501" s="10"/>
    </row>
  </sheetData>
  <dataValidations>
    <dataValidation type="list" allowBlank="1" sqref="H2:H501">
      <formula1>"Active,Inactive,VIP,New"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27.5"/>
    <col customWidth="1" min="3" max="3" width="40.88"/>
    <col customWidth="1" min="4" max="4" width="26.63"/>
    <col customWidth="1" min="5" max="5" width="33.75"/>
    <col customWidth="1" min="6" max="6" width="24.38"/>
    <col customWidth="1" min="7" max="7" width="34.63"/>
    <col customWidth="1" min="8" max="8" width="29.5"/>
    <col customWidth="1" min="9" max="9" width="33.88"/>
    <col customWidth="1" min="10" max="10" width="34.75"/>
    <col customWidth="1" min="11" max="11" width="28.38"/>
    <col customWidth="1" min="12" max="12" width="45.5"/>
    <col customWidth="1" min="13" max="13" width="52.63"/>
  </cols>
  <sheetData>
    <row r="1">
      <c r="A1" s="32" t="s">
        <v>118</v>
      </c>
      <c r="B1" s="32" t="s">
        <v>119</v>
      </c>
      <c r="C1" s="32" t="s">
        <v>120</v>
      </c>
      <c r="D1" s="32" t="s">
        <v>121</v>
      </c>
      <c r="E1" s="32" t="s">
        <v>122</v>
      </c>
      <c r="F1" s="32" t="s">
        <v>123</v>
      </c>
      <c r="G1" s="32" t="s">
        <v>124</v>
      </c>
      <c r="H1" s="32" t="s">
        <v>125</v>
      </c>
      <c r="I1" s="32" t="s">
        <v>126</v>
      </c>
      <c r="J1" s="32" t="s">
        <v>127</v>
      </c>
      <c r="K1" s="32" t="s">
        <v>14</v>
      </c>
      <c r="L1" s="32" t="s">
        <v>128</v>
      </c>
      <c r="M1" s="32" t="s">
        <v>13</v>
      </c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33">
        <v>46181.0</v>
      </c>
      <c r="B2" s="9" t="s">
        <v>129</v>
      </c>
      <c r="C2" s="9" t="s">
        <v>130</v>
      </c>
      <c r="D2" s="9" t="s">
        <v>131</v>
      </c>
      <c r="E2" s="9">
        <v>10.0</v>
      </c>
      <c r="F2" s="9">
        <v>15000.0</v>
      </c>
      <c r="G2" s="7">
        <f t="shared" ref="G2:G501" si="1">E2*F2</f>
        <v>150000</v>
      </c>
      <c r="H2" s="9">
        <v>10.0</v>
      </c>
      <c r="I2" s="7">
        <f t="shared" ref="I2:I13" si="2">E2-H2</f>
        <v>0</v>
      </c>
      <c r="J2" s="7"/>
      <c r="K2" s="9" t="s">
        <v>132</v>
      </c>
      <c r="L2" s="9" t="s">
        <v>133</v>
      </c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33">
        <v>46181.0</v>
      </c>
      <c r="B3" s="9" t="s">
        <v>129</v>
      </c>
      <c r="C3" s="9" t="s">
        <v>134</v>
      </c>
      <c r="D3" s="9" t="s">
        <v>135</v>
      </c>
      <c r="E3" s="9">
        <v>50.0</v>
      </c>
      <c r="F3" s="9">
        <v>1200.0</v>
      </c>
      <c r="G3" s="7">
        <f t="shared" si="1"/>
        <v>60000</v>
      </c>
      <c r="H3" s="9">
        <v>18.0</v>
      </c>
      <c r="I3" s="7">
        <f t="shared" si="2"/>
        <v>32</v>
      </c>
      <c r="J3" s="7"/>
      <c r="K3" s="9" t="s">
        <v>136</v>
      </c>
      <c r="L3" s="9" t="s">
        <v>133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33">
        <v>46181.0</v>
      </c>
      <c r="B4" s="9" t="s">
        <v>129</v>
      </c>
      <c r="C4" s="9" t="s">
        <v>137</v>
      </c>
      <c r="D4" s="9" t="s">
        <v>138</v>
      </c>
      <c r="E4" s="9">
        <v>1.0</v>
      </c>
      <c r="F4" s="9">
        <v>3000.0</v>
      </c>
      <c r="G4" s="7">
        <f t="shared" si="1"/>
        <v>3000</v>
      </c>
      <c r="H4" s="9">
        <v>1.0</v>
      </c>
      <c r="I4" s="7">
        <f t="shared" si="2"/>
        <v>0</v>
      </c>
      <c r="J4" s="7"/>
      <c r="K4" s="9" t="s">
        <v>132</v>
      </c>
      <c r="L4" s="9" t="s">
        <v>133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33">
        <v>46181.0</v>
      </c>
      <c r="B5" s="9" t="s">
        <v>129</v>
      </c>
      <c r="C5" s="9" t="s">
        <v>139</v>
      </c>
      <c r="D5" s="9" t="s">
        <v>138</v>
      </c>
      <c r="E5" s="9">
        <v>1.0</v>
      </c>
      <c r="F5" s="9">
        <v>3000.0</v>
      </c>
      <c r="G5" s="7">
        <f t="shared" si="1"/>
        <v>3000</v>
      </c>
      <c r="H5" s="9">
        <v>1.0</v>
      </c>
      <c r="I5" s="7">
        <f t="shared" si="2"/>
        <v>0</v>
      </c>
      <c r="J5" s="7"/>
      <c r="K5" s="9" t="s">
        <v>132</v>
      </c>
      <c r="L5" s="9" t="s">
        <v>133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33">
        <v>46181.0</v>
      </c>
      <c r="B6" s="9" t="s">
        <v>129</v>
      </c>
      <c r="C6" s="9" t="s">
        <v>140</v>
      </c>
      <c r="D6" s="9" t="s">
        <v>138</v>
      </c>
      <c r="E6" s="9">
        <v>1.0</v>
      </c>
      <c r="F6" s="9">
        <v>3000.0</v>
      </c>
      <c r="G6" s="7">
        <f t="shared" si="1"/>
        <v>3000</v>
      </c>
      <c r="H6" s="9">
        <v>1.0</v>
      </c>
      <c r="I6" s="7">
        <f t="shared" si="2"/>
        <v>0</v>
      </c>
      <c r="J6" s="7"/>
      <c r="K6" s="9" t="s">
        <v>132</v>
      </c>
      <c r="L6" s="9" t="s">
        <v>133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33">
        <v>46182.0</v>
      </c>
      <c r="B7" s="9" t="s">
        <v>129</v>
      </c>
      <c r="C7" s="9" t="s">
        <v>141</v>
      </c>
      <c r="D7" s="9" t="s">
        <v>142</v>
      </c>
      <c r="E7" s="9">
        <v>230.0</v>
      </c>
      <c r="F7" s="9">
        <v>369.565</v>
      </c>
      <c r="G7" s="7">
        <f t="shared" si="1"/>
        <v>84999.95</v>
      </c>
      <c r="H7" s="9">
        <v>18.0</v>
      </c>
      <c r="I7" s="7">
        <f t="shared" si="2"/>
        <v>212</v>
      </c>
      <c r="J7" s="7"/>
      <c r="K7" s="9" t="s">
        <v>136</v>
      </c>
      <c r="L7" s="9" t="s">
        <v>133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33">
        <v>46184.0</v>
      </c>
      <c r="B8" s="9" t="s">
        <v>143</v>
      </c>
      <c r="C8" s="9" t="s">
        <v>144</v>
      </c>
      <c r="D8" s="9" t="s">
        <v>145</v>
      </c>
      <c r="E8" s="9">
        <v>18.0</v>
      </c>
      <c r="F8" s="9">
        <v>2000.0</v>
      </c>
      <c r="G8" s="7">
        <f t="shared" si="1"/>
        <v>36000</v>
      </c>
      <c r="H8" s="9">
        <v>18.0</v>
      </c>
      <c r="I8" s="7">
        <f t="shared" si="2"/>
        <v>0</v>
      </c>
      <c r="J8" s="7"/>
      <c r="K8" s="9" t="s">
        <v>132</v>
      </c>
      <c r="L8" s="9" t="s">
        <v>133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33">
        <v>46184.0</v>
      </c>
      <c r="B9" s="9" t="s">
        <v>143</v>
      </c>
      <c r="C9" s="9" t="s">
        <v>17</v>
      </c>
      <c r="D9" s="9" t="s">
        <v>145</v>
      </c>
      <c r="E9" s="9">
        <v>15.0</v>
      </c>
      <c r="F9" s="9">
        <v>500.0</v>
      </c>
      <c r="G9" s="7">
        <f t="shared" si="1"/>
        <v>7500</v>
      </c>
      <c r="H9" s="9">
        <v>15.0</v>
      </c>
      <c r="I9" s="7">
        <f t="shared" si="2"/>
        <v>0</v>
      </c>
      <c r="J9" s="7"/>
      <c r="K9" s="9" t="s">
        <v>132</v>
      </c>
      <c r="L9" s="9" t="s">
        <v>133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33">
        <v>46184.0</v>
      </c>
      <c r="B10" s="9" t="s">
        <v>143</v>
      </c>
      <c r="C10" s="9" t="s">
        <v>23</v>
      </c>
      <c r="D10" s="9" t="s">
        <v>145</v>
      </c>
      <c r="E10" s="9">
        <v>126.0</v>
      </c>
      <c r="F10" s="9">
        <v>1000.0</v>
      </c>
      <c r="G10" s="7">
        <f t="shared" si="1"/>
        <v>126000</v>
      </c>
      <c r="H10" s="9">
        <v>126.0</v>
      </c>
      <c r="I10" s="7">
        <f t="shared" si="2"/>
        <v>0</v>
      </c>
      <c r="J10" s="7"/>
      <c r="K10" s="9" t="s">
        <v>132</v>
      </c>
      <c r="L10" s="9" t="s">
        <v>133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33">
        <v>46184.0</v>
      </c>
      <c r="B11" s="9" t="s">
        <v>143</v>
      </c>
      <c r="C11" s="9" t="s">
        <v>134</v>
      </c>
      <c r="D11" s="9" t="s">
        <v>145</v>
      </c>
      <c r="E11" s="9">
        <v>18.0</v>
      </c>
      <c r="F11" s="9">
        <v>10000.0</v>
      </c>
      <c r="G11" s="7">
        <f t="shared" si="1"/>
        <v>180000</v>
      </c>
      <c r="H11" s="9">
        <v>18.0</v>
      </c>
      <c r="I11" s="7">
        <f t="shared" si="2"/>
        <v>0</v>
      </c>
      <c r="J11" s="7"/>
      <c r="K11" s="9" t="s">
        <v>132</v>
      </c>
      <c r="L11" s="9" t="s">
        <v>133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33">
        <v>46205.0</v>
      </c>
      <c r="B12" s="9" t="s">
        <v>129</v>
      </c>
      <c r="C12" s="9" t="s">
        <v>130</v>
      </c>
      <c r="D12" s="9" t="s">
        <v>131</v>
      </c>
      <c r="E12" s="9">
        <v>10.0</v>
      </c>
      <c r="F12" s="9">
        <v>22000.0</v>
      </c>
      <c r="G12" s="7">
        <f t="shared" si="1"/>
        <v>220000</v>
      </c>
      <c r="H12" s="9">
        <v>10.0</v>
      </c>
      <c r="I12" s="7">
        <f t="shared" si="2"/>
        <v>0</v>
      </c>
      <c r="J12" s="7"/>
      <c r="K12" s="9" t="s">
        <v>132</v>
      </c>
      <c r="L12" s="9" t="s">
        <v>133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33">
        <v>46207.0</v>
      </c>
      <c r="B13" s="9" t="s">
        <v>143</v>
      </c>
      <c r="C13" s="9" t="s">
        <v>146</v>
      </c>
      <c r="D13" s="9" t="s">
        <v>145</v>
      </c>
      <c r="E13" s="9">
        <v>167.0</v>
      </c>
      <c r="F13" s="9">
        <v>2000.0</v>
      </c>
      <c r="G13" s="7">
        <f t="shared" si="1"/>
        <v>334000</v>
      </c>
      <c r="H13" s="9">
        <v>167.0</v>
      </c>
      <c r="I13" s="7">
        <f t="shared" si="2"/>
        <v>0</v>
      </c>
      <c r="J13" s="7"/>
      <c r="K13" s="9" t="s">
        <v>132</v>
      </c>
      <c r="L13" s="9" t="s">
        <v>133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33">
        <v>46207.0</v>
      </c>
      <c r="B14" s="9" t="s">
        <v>143</v>
      </c>
      <c r="C14" s="9" t="s">
        <v>147</v>
      </c>
      <c r="D14" s="9" t="s">
        <v>145</v>
      </c>
      <c r="E14" s="9">
        <v>1.0</v>
      </c>
      <c r="F14" s="9">
        <v>10000.0</v>
      </c>
      <c r="G14" s="7">
        <f t="shared" si="1"/>
        <v>10000</v>
      </c>
      <c r="H14" s="9">
        <v>1.0</v>
      </c>
      <c r="I14" s="9">
        <v>31.0</v>
      </c>
      <c r="J14" s="7"/>
      <c r="K14" s="9" t="s">
        <v>136</v>
      </c>
      <c r="L14" s="9" t="s">
        <v>133</v>
      </c>
      <c r="M14" s="9" t="s">
        <v>148</v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33">
        <v>46207.0</v>
      </c>
      <c r="B15" s="9" t="s">
        <v>143</v>
      </c>
      <c r="C15" s="9" t="s">
        <v>149</v>
      </c>
      <c r="D15" s="9" t="s">
        <v>145</v>
      </c>
      <c r="E15" s="9">
        <v>160.0</v>
      </c>
      <c r="F15" s="9">
        <v>1000.0</v>
      </c>
      <c r="G15" s="7">
        <f t="shared" si="1"/>
        <v>160000</v>
      </c>
      <c r="H15" s="9">
        <v>160.0</v>
      </c>
      <c r="I15" s="7">
        <f>E15-H15</f>
        <v>0</v>
      </c>
      <c r="J15" s="7"/>
      <c r="K15" s="9" t="s">
        <v>132</v>
      </c>
      <c r="L15" s="9" t="s">
        <v>133</v>
      </c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33">
        <v>46233.0</v>
      </c>
      <c r="B16" s="9" t="s">
        <v>129</v>
      </c>
      <c r="C16" s="9" t="s">
        <v>130</v>
      </c>
      <c r="D16" s="7"/>
      <c r="E16" s="9">
        <v>66.0</v>
      </c>
      <c r="F16" s="9">
        <v>10909.09</v>
      </c>
      <c r="G16" s="7">
        <f t="shared" si="1"/>
        <v>719999.94</v>
      </c>
      <c r="H16" s="9">
        <v>60.0</v>
      </c>
      <c r="I16" s="7"/>
      <c r="J16" s="7"/>
      <c r="K16" s="9" t="s">
        <v>136</v>
      </c>
      <c r="L16" s="9" t="s">
        <v>133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33">
        <v>46233.0</v>
      </c>
      <c r="B17" s="9" t="s">
        <v>129</v>
      </c>
      <c r="C17" s="9" t="s">
        <v>150</v>
      </c>
      <c r="D17" s="9" t="s">
        <v>142</v>
      </c>
      <c r="E17" s="9">
        <v>107.0</v>
      </c>
      <c r="F17" s="9">
        <v>1290.0</v>
      </c>
      <c r="G17" s="7">
        <f t="shared" si="1"/>
        <v>138030</v>
      </c>
      <c r="H17" s="7"/>
      <c r="I17" s="7">
        <f t="shared" ref="I17:I20" si="3">E17-H17</f>
        <v>107</v>
      </c>
      <c r="J17" s="7"/>
      <c r="K17" s="9" t="s">
        <v>136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33">
        <v>46233.0</v>
      </c>
      <c r="B18" s="9" t="s">
        <v>129</v>
      </c>
      <c r="C18" s="9" t="s">
        <v>141</v>
      </c>
      <c r="D18" s="9" t="s">
        <v>142</v>
      </c>
      <c r="E18" s="9">
        <v>230.0</v>
      </c>
      <c r="F18" s="9">
        <v>369.565</v>
      </c>
      <c r="G18" s="7">
        <f t="shared" si="1"/>
        <v>84999.95</v>
      </c>
      <c r="H18" s="9">
        <v>230.0</v>
      </c>
      <c r="I18" s="7">
        <f t="shared" si="3"/>
        <v>0</v>
      </c>
      <c r="J18" s="7"/>
      <c r="K18" s="9" t="s">
        <v>136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33">
        <v>46233.0</v>
      </c>
      <c r="B19" s="9" t="s">
        <v>129</v>
      </c>
      <c r="C19" s="9" t="s">
        <v>151</v>
      </c>
      <c r="D19" s="9" t="s">
        <v>142</v>
      </c>
      <c r="E19" s="9">
        <v>1.0</v>
      </c>
      <c r="F19" s="9">
        <v>5000.0</v>
      </c>
      <c r="G19" s="7">
        <f t="shared" si="1"/>
        <v>5000</v>
      </c>
      <c r="H19" s="9">
        <v>1.0</v>
      </c>
      <c r="I19" s="7">
        <f t="shared" si="3"/>
        <v>0</v>
      </c>
      <c r="J19" s="7"/>
      <c r="K19" s="9" t="s">
        <v>132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33">
        <v>46233.0</v>
      </c>
      <c r="B20" s="9" t="s">
        <v>129</v>
      </c>
      <c r="C20" s="9" t="s">
        <v>152</v>
      </c>
      <c r="D20" s="7"/>
      <c r="E20" s="9">
        <v>5.0</v>
      </c>
      <c r="F20" s="9">
        <v>25000.0</v>
      </c>
      <c r="G20" s="7">
        <f t="shared" si="1"/>
        <v>125000</v>
      </c>
      <c r="H20" s="7"/>
      <c r="I20" s="7">
        <f t="shared" si="3"/>
        <v>5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33">
        <v>46235.0</v>
      </c>
      <c r="B21" s="9" t="s">
        <v>143</v>
      </c>
      <c r="C21" s="9" t="s">
        <v>147</v>
      </c>
      <c r="D21" s="7"/>
      <c r="E21" s="9">
        <v>15.0</v>
      </c>
      <c r="F21" s="9">
        <v>10000.0</v>
      </c>
      <c r="G21" s="7">
        <f t="shared" si="1"/>
        <v>150000</v>
      </c>
      <c r="H21" s="9">
        <v>15.0</v>
      </c>
      <c r="I21" s="9">
        <v>0.0</v>
      </c>
      <c r="J21" s="7"/>
      <c r="K21" s="9" t="s">
        <v>153</v>
      </c>
      <c r="L21" s="7"/>
      <c r="M21" s="9" t="s">
        <v>154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33">
        <v>46236.0</v>
      </c>
      <c r="B22" s="9" t="s">
        <v>143</v>
      </c>
      <c r="C22" s="9" t="s">
        <v>155</v>
      </c>
      <c r="D22" s="7"/>
      <c r="E22" s="9">
        <v>106.0</v>
      </c>
      <c r="F22" s="9">
        <v>5000.0</v>
      </c>
      <c r="G22" s="7">
        <f t="shared" si="1"/>
        <v>530000</v>
      </c>
      <c r="H22" s="9">
        <v>103.0</v>
      </c>
      <c r="I22" s="7">
        <f t="shared" ref="I22:I501" si="4">E22-H22</f>
        <v>3</v>
      </c>
      <c r="J22" s="7"/>
      <c r="K22" s="9" t="s">
        <v>153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33">
        <v>46236.0</v>
      </c>
      <c r="B23" s="9" t="s">
        <v>143</v>
      </c>
      <c r="C23" s="9" t="s">
        <v>156</v>
      </c>
      <c r="D23" s="7"/>
      <c r="E23" s="9">
        <v>230.0</v>
      </c>
      <c r="F23" s="9">
        <v>2000.0</v>
      </c>
      <c r="G23" s="7">
        <f t="shared" si="1"/>
        <v>460000</v>
      </c>
      <c r="H23" s="7"/>
      <c r="I23" s="7">
        <f t="shared" si="4"/>
        <v>230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33">
        <v>46237.0</v>
      </c>
      <c r="B24" s="9" t="s">
        <v>143</v>
      </c>
      <c r="C24" s="9" t="s">
        <v>157</v>
      </c>
      <c r="D24" s="7"/>
      <c r="E24" s="9">
        <v>1.0</v>
      </c>
      <c r="F24" s="9">
        <v>60000.0</v>
      </c>
      <c r="G24" s="7">
        <f t="shared" si="1"/>
        <v>60000</v>
      </c>
      <c r="H24" s="7"/>
      <c r="I24" s="7">
        <f t="shared" si="4"/>
        <v>1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33">
        <v>46239.0</v>
      </c>
      <c r="B25" s="9" t="s">
        <v>129</v>
      </c>
      <c r="C25" s="9" t="s">
        <v>158</v>
      </c>
      <c r="D25" s="7"/>
      <c r="E25" s="9">
        <v>3.0</v>
      </c>
      <c r="F25" s="9">
        <v>10000.0</v>
      </c>
      <c r="G25" s="7">
        <f t="shared" si="1"/>
        <v>30000</v>
      </c>
      <c r="H25" s="7"/>
      <c r="I25" s="7">
        <f t="shared" si="4"/>
        <v>3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33">
        <v>46239.0</v>
      </c>
      <c r="B26" s="9" t="s">
        <v>129</v>
      </c>
      <c r="C26" s="9" t="s">
        <v>159</v>
      </c>
      <c r="D26" s="7"/>
      <c r="E26" s="9">
        <v>3.0</v>
      </c>
      <c r="F26" s="9">
        <v>2000.0</v>
      </c>
      <c r="G26" s="7">
        <f t="shared" si="1"/>
        <v>6000</v>
      </c>
      <c r="H26" s="7"/>
      <c r="I26" s="7">
        <f t="shared" si="4"/>
        <v>3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33">
        <v>46240.0</v>
      </c>
      <c r="B27" s="9" t="s">
        <v>143</v>
      </c>
      <c r="C27" s="9" t="s">
        <v>160</v>
      </c>
      <c r="D27" s="7"/>
      <c r="E27" s="9">
        <v>1.0</v>
      </c>
      <c r="F27" s="9">
        <v>25000.0</v>
      </c>
      <c r="G27" s="7">
        <f t="shared" si="1"/>
        <v>25000</v>
      </c>
      <c r="H27" s="9">
        <v>1.0</v>
      </c>
      <c r="I27" s="7">
        <f t="shared" si="4"/>
        <v>0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33">
        <v>46240.0</v>
      </c>
      <c r="B28" s="9" t="s">
        <v>143</v>
      </c>
      <c r="C28" s="9" t="s">
        <v>161</v>
      </c>
      <c r="D28" s="7"/>
      <c r="E28" s="9">
        <v>1.0</v>
      </c>
      <c r="F28" s="9">
        <v>25000.0</v>
      </c>
      <c r="G28" s="7">
        <f t="shared" si="1"/>
        <v>25000</v>
      </c>
      <c r="H28" s="9">
        <v>1.0</v>
      </c>
      <c r="I28" s="7">
        <f t="shared" si="4"/>
        <v>0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33">
        <v>46240.0</v>
      </c>
      <c r="B29" s="9" t="s">
        <v>143</v>
      </c>
      <c r="C29" s="9" t="s">
        <v>162</v>
      </c>
      <c r="D29" s="7"/>
      <c r="E29" s="9">
        <v>1.0</v>
      </c>
      <c r="F29" s="9">
        <v>25000.0</v>
      </c>
      <c r="G29" s="7">
        <f t="shared" si="1"/>
        <v>25000</v>
      </c>
      <c r="H29" s="9">
        <v>1.0</v>
      </c>
      <c r="I29" s="7">
        <f t="shared" si="4"/>
        <v>0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33">
        <v>46251.0</v>
      </c>
      <c r="B30" s="9" t="s">
        <v>129</v>
      </c>
      <c r="C30" s="9" t="s">
        <v>150</v>
      </c>
      <c r="D30" s="7"/>
      <c r="E30" s="9">
        <v>100.0</v>
      </c>
      <c r="F30" s="9">
        <v>1450.0</v>
      </c>
      <c r="G30" s="7">
        <f t="shared" si="1"/>
        <v>145000</v>
      </c>
      <c r="H30" s="7"/>
      <c r="I30" s="7">
        <f t="shared" si="4"/>
        <v>100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33">
        <v>46251.0</v>
      </c>
      <c r="B31" s="9" t="s">
        <v>129</v>
      </c>
      <c r="C31" s="9" t="s">
        <v>147</v>
      </c>
      <c r="D31" s="7"/>
      <c r="E31" s="9">
        <v>50.0</v>
      </c>
      <c r="F31" s="9">
        <v>1200.0</v>
      </c>
      <c r="G31" s="7">
        <f t="shared" si="1"/>
        <v>60000</v>
      </c>
      <c r="H31" s="7"/>
      <c r="I31" s="7">
        <f t="shared" si="4"/>
        <v>50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33">
        <v>46251.0</v>
      </c>
      <c r="B32" s="9" t="s">
        <v>129</v>
      </c>
      <c r="C32" s="9" t="s">
        <v>163</v>
      </c>
      <c r="D32" s="7"/>
      <c r="E32" s="9">
        <v>230.0</v>
      </c>
      <c r="F32" s="9">
        <v>369.565</v>
      </c>
      <c r="G32" s="7">
        <f t="shared" si="1"/>
        <v>84999.95</v>
      </c>
      <c r="H32" s="9">
        <v>130.0</v>
      </c>
      <c r="I32" s="7">
        <f t="shared" si="4"/>
        <v>100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33">
        <v>46251.0</v>
      </c>
      <c r="B33" s="9" t="s">
        <v>129</v>
      </c>
      <c r="C33" s="9" t="s">
        <v>164</v>
      </c>
      <c r="D33" s="7"/>
      <c r="E33" s="9">
        <v>10.0</v>
      </c>
      <c r="F33" s="9">
        <v>5000.0</v>
      </c>
      <c r="G33" s="7">
        <f t="shared" si="1"/>
        <v>50000</v>
      </c>
      <c r="H33" s="7"/>
      <c r="I33" s="7">
        <f t="shared" si="4"/>
        <v>10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33">
        <v>46251.0</v>
      </c>
      <c r="B34" s="9" t="s">
        <v>143</v>
      </c>
      <c r="C34" s="9" t="s">
        <v>141</v>
      </c>
      <c r="D34" s="7"/>
      <c r="E34" s="9">
        <v>130.0</v>
      </c>
      <c r="F34" s="9">
        <v>2000.0</v>
      </c>
      <c r="G34" s="7">
        <f t="shared" si="1"/>
        <v>260000</v>
      </c>
      <c r="H34" s="7"/>
      <c r="I34" s="7">
        <f t="shared" si="4"/>
        <v>130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33">
        <v>46251.0</v>
      </c>
      <c r="B35" s="9" t="s">
        <v>143</v>
      </c>
      <c r="C35" s="9" t="s">
        <v>155</v>
      </c>
      <c r="D35" s="7"/>
      <c r="E35" s="9">
        <v>100.0</v>
      </c>
      <c r="F35" s="9">
        <v>5000.0</v>
      </c>
      <c r="G35" s="7">
        <f t="shared" si="1"/>
        <v>500000</v>
      </c>
      <c r="H35" s="7"/>
      <c r="I35" s="7">
        <f t="shared" si="4"/>
        <v>100</v>
      </c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>
        <f t="shared" si="1"/>
        <v>0</v>
      </c>
      <c r="H36" s="7"/>
      <c r="I36" s="7">
        <f t="shared" si="4"/>
        <v>0</v>
      </c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>
        <f t="shared" si="1"/>
        <v>0</v>
      </c>
      <c r="H37" s="7"/>
      <c r="I37" s="7">
        <f t="shared" si="4"/>
        <v>0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>
        <f t="shared" si="1"/>
        <v>0</v>
      </c>
      <c r="H38" s="7"/>
      <c r="I38" s="7">
        <f t="shared" si="4"/>
        <v>0</v>
      </c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>
        <f t="shared" si="1"/>
        <v>0</v>
      </c>
      <c r="H39" s="7"/>
      <c r="I39" s="7">
        <f t="shared" si="4"/>
        <v>0</v>
      </c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>
        <f t="shared" si="1"/>
        <v>0</v>
      </c>
      <c r="H40" s="7"/>
      <c r="I40" s="7">
        <f t="shared" si="4"/>
        <v>0</v>
      </c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>
        <f t="shared" si="1"/>
        <v>0</v>
      </c>
      <c r="H41" s="7"/>
      <c r="I41" s="7">
        <f t="shared" si="4"/>
        <v>0</v>
      </c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>
        <f t="shared" si="1"/>
        <v>0</v>
      </c>
      <c r="H42" s="7"/>
      <c r="I42" s="7">
        <f t="shared" si="4"/>
        <v>0</v>
      </c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>
        <f t="shared" si="1"/>
        <v>0</v>
      </c>
      <c r="H43" s="7"/>
      <c r="I43" s="7">
        <f t="shared" si="4"/>
        <v>0</v>
      </c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>
        <f t="shared" si="1"/>
        <v>0</v>
      </c>
      <c r="H44" s="7"/>
      <c r="I44" s="7">
        <f t="shared" si="4"/>
        <v>0</v>
      </c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>
        <f t="shared" si="1"/>
        <v>0</v>
      </c>
      <c r="H45" s="7"/>
      <c r="I45" s="7">
        <f t="shared" si="4"/>
        <v>0</v>
      </c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>
        <f t="shared" si="1"/>
        <v>0</v>
      </c>
      <c r="H46" s="7"/>
      <c r="I46" s="7">
        <f t="shared" si="4"/>
        <v>0</v>
      </c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>
        <f t="shared" si="1"/>
        <v>0</v>
      </c>
      <c r="H47" s="7"/>
      <c r="I47" s="7">
        <f t="shared" si="4"/>
        <v>0</v>
      </c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>
        <f t="shared" si="1"/>
        <v>0</v>
      </c>
      <c r="H48" s="7"/>
      <c r="I48" s="7">
        <f t="shared" si="4"/>
        <v>0</v>
      </c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>
        <f t="shared" si="1"/>
        <v>0</v>
      </c>
      <c r="H49" s="7"/>
      <c r="I49" s="7">
        <f t="shared" si="4"/>
        <v>0</v>
      </c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>
        <f t="shared" si="1"/>
        <v>0</v>
      </c>
      <c r="H50" s="7"/>
      <c r="I50" s="7">
        <f t="shared" si="4"/>
        <v>0</v>
      </c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>
        <f t="shared" si="1"/>
        <v>0</v>
      </c>
      <c r="H51" s="7"/>
      <c r="I51" s="7">
        <f t="shared" si="4"/>
        <v>0</v>
      </c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>
        <f t="shared" si="1"/>
        <v>0</v>
      </c>
      <c r="H52" s="7"/>
      <c r="I52" s="7">
        <f t="shared" si="4"/>
        <v>0</v>
      </c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>
        <f t="shared" si="1"/>
        <v>0</v>
      </c>
      <c r="H53" s="7"/>
      <c r="I53" s="7">
        <f t="shared" si="4"/>
        <v>0</v>
      </c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>
        <f t="shared" si="1"/>
        <v>0</v>
      </c>
      <c r="H54" s="7"/>
      <c r="I54" s="7">
        <f t="shared" si="4"/>
        <v>0</v>
      </c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>
        <f t="shared" si="1"/>
        <v>0</v>
      </c>
      <c r="H55" s="7"/>
      <c r="I55" s="7">
        <f t="shared" si="4"/>
        <v>0</v>
      </c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>
        <f t="shared" si="1"/>
        <v>0</v>
      </c>
      <c r="H56" s="7"/>
      <c r="I56" s="7">
        <f t="shared" si="4"/>
        <v>0</v>
      </c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>
        <f t="shared" si="1"/>
        <v>0</v>
      </c>
      <c r="H57" s="7"/>
      <c r="I57" s="7">
        <f t="shared" si="4"/>
        <v>0</v>
      </c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>
        <f t="shared" si="1"/>
        <v>0</v>
      </c>
      <c r="H58" s="7"/>
      <c r="I58" s="7">
        <f t="shared" si="4"/>
        <v>0</v>
      </c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>
        <f t="shared" si="1"/>
        <v>0</v>
      </c>
      <c r="H59" s="7"/>
      <c r="I59" s="7">
        <f t="shared" si="4"/>
        <v>0</v>
      </c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>
        <f t="shared" si="1"/>
        <v>0</v>
      </c>
      <c r="H60" s="7"/>
      <c r="I60" s="7">
        <f t="shared" si="4"/>
        <v>0</v>
      </c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>
        <f t="shared" si="1"/>
        <v>0</v>
      </c>
      <c r="H61" s="7"/>
      <c r="I61" s="7">
        <f t="shared" si="4"/>
        <v>0</v>
      </c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>
        <f t="shared" si="1"/>
        <v>0</v>
      </c>
      <c r="H62" s="7"/>
      <c r="I62" s="7">
        <f t="shared" si="4"/>
        <v>0</v>
      </c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>
        <f t="shared" si="1"/>
        <v>0</v>
      </c>
      <c r="H63" s="7"/>
      <c r="I63" s="7">
        <f t="shared" si="4"/>
        <v>0</v>
      </c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>
        <f t="shared" si="1"/>
        <v>0</v>
      </c>
      <c r="H64" s="7"/>
      <c r="I64" s="7">
        <f t="shared" si="4"/>
        <v>0</v>
      </c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>
        <f t="shared" si="1"/>
        <v>0</v>
      </c>
      <c r="H65" s="7"/>
      <c r="I65" s="7">
        <f t="shared" si="4"/>
        <v>0</v>
      </c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>
        <f t="shared" si="1"/>
        <v>0</v>
      </c>
      <c r="H66" s="7"/>
      <c r="I66" s="7">
        <f t="shared" si="4"/>
        <v>0</v>
      </c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>
        <f t="shared" si="1"/>
        <v>0</v>
      </c>
      <c r="H67" s="7"/>
      <c r="I67" s="7">
        <f t="shared" si="4"/>
        <v>0</v>
      </c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>
        <f t="shared" si="1"/>
        <v>0</v>
      </c>
      <c r="H68" s="7"/>
      <c r="I68" s="7">
        <f t="shared" si="4"/>
        <v>0</v>
      </c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>
        <f t="shared" si="1"/>
        <v>0</v>
      </c>
      <c r="H69" s="7"/>
      <c r="I69" s="7">
        <f t="shared" si="4"/>
        <v>0</v>
      </c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>
        <f t="shared" si="1"/>
        <v>0</v>
      </c>
      <c r="H70" s="7"/>
      <c r="I70" s="7">
        <f t="shared" si="4"/>
        <v>0</v>
      </c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>
        <f t="shared" si="1"/>
        <v>0</v>
      </c>
      <c r="H71" s="7"/>
      <c r="I71" s="7">
        <f t="shared" si="4"/>
        <v>0</v>
      </c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>
        <f t="shared" si="1"/>
        <v>0</v>
      </c>
      <c r="H72" s="7"/>
      <c r="I72" s="7">
        <f t="shared" si="4"/>
        <v>0</v>
      </c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>
        <f t="shared" si="1"/>
        <v>0</v>
      </c>
      <c r="H73" s="7"/>
      <c r="I73" s="7">
        <f t="shared" si="4"/>
        <v>0</v>
      </c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>
        <f t="shared" si="1"/>
        <v>0</v>
      </c>
      <c r="H74" s="7"/>
      <c r="I74" s="7">
        <f t="shared" si="4"/>
        <v>0</v>
      </c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>
        <f t="shared" si="1"/>
        <v>0</v>
      </c>
      <c r="H75" s="7"/>
      <c r="I75" s="7">
        <f t="shared" si="4"/>
        <v>0</v>
      </c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>
        <f t="shared" si="1"/>
        <v>0</v>
      </c>
      <c r="H76" s="7"/>
      <c r="I76" s="7">
        <f t="shared" si="4"/>
        <v>0</v>
      </c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>
        <f t="shared" si="1"/>
        <v>0</v>
      </c>
      <c r="H77" s="7"/>
      <c r="I77" s="7">
        <f t="shared" si="4"/>
        <v>0</v>
      </c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>
        <f t="shared" si="1"/>
        <v>0</v>
      </c>
      <c r="H78" s="7"/>
      <c r="I78" s="7">
        <f t="shared" si="4"/>
        <v>0</v>
      </c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>
        <f t="shared" si="1"/>
        <v>0</v>
      </c>
      <c r="H79" s="7"/>
      <c r="I79" s="7">
        <f t="shared" si="4"/>
        <v>0</v>
      </c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>
        <f t="shared" si="1"/>
        <v>0</v>
      </c>
      <c r="H80" s="7"/>
      <c r="I80" s="7">
        <f t="shared" si="4"/>
        <v>0</v>
      </c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>
        <f t="shared" si="1"/>
        <v>0</v>
      </c>
      <c r="H81" s="7"/>
      <c r="I81" s="7">
        <f t="shared" si="4"/>
        <v>0</v>
      </c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>
        <f t="shared" si="1"/>
        <v>0</v>
      </c>
      <c r="H82" s="7"/>
      <c r="I82" s="7">
        <f t="shared" si="4"/>
        <v>0</v>
      </c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>
        <f t="shared" si="1"/>
        <v>0</v>
      </c>
      <c r="H83" s="7"/>
      <c r="I83" s="7">
        <f t="shared" si="4"/>
        <v>0</v>
      </c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>
        <f t="shared" si="1"/>
        <v>0</v>
      </c>
      <c r="H84" s="7"/>
      <c r="I84" s="7">
        <f t="shared" si="4"/>
        <v>0</v>
      </c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>
        <f t="shared" si="1"/>
        <v>0</v>
      </c>
      <c r="H85" s="7"/>
      <c r="I85" s="7">
        <f t="shared" si="4"/>
        <v>0</v>
      </c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>
        <f t="shared" si="1"/>
        <v>0</v>
      </c>
      <c r="H86" s="7"/>
      <c r="I86" s="7">
        <f t="shared" si="4"/>
        <v>0</v>
      </c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>
        <f t="shared" si="1"/>
        <v>0</v>
      </c>
      <c r="H87" s="7"/>
      <c r="I87" s="7">
        <f t="shared" si="4"/>
        <v>0</v>
      </c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>
        <f t="shared" si="1"/>
        <v>0</v>
      </c>
      <c r="H88" s="7"/>
      <c r="I88" s="7">
        <f t="shared" si="4"/>
        <v>0</v>
      </c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>
        <f t="shared" si="1"/>
        <v>0</v>
      </c>
      <c r="H89" s="7"/>
      <c r="I89" s="7">
        <f t="shared" si="4"/>
        <v>0</v>
      </c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>
        <f t="shared" si="1"/>
        <v>0</v>
      </c>
      <c r="H90" s="7"/>
      <c r="I90" s="7">
        <f t="shared" si="4"/>
        <v>0</v>
      </c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>
        <f t="shared" si="1"/>
        <v>0</v>
      </c>
      <c r="H91" s="7"/>
      <c r="I91" s="7">
        <f t="shared" si="4"/>
        <v>0</v>
      </c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>
        <f t="shared" si="1"/>
        <v>0</v>
      </c>
      <c r="H92" s="7"/>
      <c r="I92" s="7">
        <f t="shared" si="4"/>
        <v>0</v>
      </c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>
        <f t="shared" si="1"/>
        <v>0</v>
      </c>
      <c r="H93" s="7"/>
      <c r="I93" s="7">
        <f t="shared" si="4"/>
        <v>0</v>
      </c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>
        <f t="shared" si="1"/>
        <v>0</v>
      </c>
      <c r="H94" s="7"/>
      <c r="I94" s="7">
        <f t="shared" si="4"/>
        <v>0</v>
      </c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>
        <f t="shared" si="1"/>
        <v>0</v>
      </c>
      <c r="H95" s="7"/>
      <c r="I95" s="7">
        <f t="shared" si="4"/>
        <v>0</v>
      </c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>
        <f t="shared" si="1"/>
        <v>0</v>
      </c>
      <c r="H96" s="7"/>
      <c r="I96" s="7">
        <f t="shared" si="4"/>
        <v>0</v>
      </c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>
        <f t="shared" si="1"/>
        <v>0</v>
      </c>
      <c r="H97" s="7"/>
      <c r="I97" s="7">
        <f t="shared" si="4"/>
        <v>0</v>
      </c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>
        <f t="shared" si="1"/>
        <v>0</v>
      </c>
      <c r="H98" s="7"/>
      <c r="I98" s="7">
        <f t="shared" si="4"/>
        <v>0</v>
      </c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>
        <f t="shared" si="1"/>
        <v>0</v>
      </c>
      <c r="H99" s="7"/>
      <c r="I99" s="7">
        <f t="shared" si="4"/>
        <v>0</v>
      </c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>
        <f t="shared" si="1"/>
        <v>0</v>
      </c>
      <c r="H100" s="7"/>
      <c r="I100" s="7">
        <f t="shared" si="4"/>
        <v>0</v>
      </c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>
        <f t="shared" si="1"/>
        <v>0</v>
      </c>
      <c r="H101" s="7"/>
      <c r="I101" s="7">
        <f t="shared" si="4"/>
        <v>0</v>
      </c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>
        <f t="shared" si="1"/>
        <v>0</v>
      </c>
      <c r="H102" s="7"/>
      <c r="I102" s="7">
        <f t="shared" si="4"/>
        <v>0</v>
      </c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>
        <f t="shared" si="1"/>
        <v>0</v>
      </c>
      <c r="H103" s="7"/>
      <c r="I103" s="7">
        <f t="shared" si="4"/>
        <v>0</v>
      </c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>
        <f t="shared" si="1"/>
        <v>0</v>
      </c>
      <c r="H104" s="7"/>
      <c r="I104" s="7">
        <f t="shared" si="4"/>
        <v>0</v>
      </c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>
        <f t="shared" si="1"/>
        <v>0</v>
      </c>
      <c r="H105" s="7"/>
      <c r="I105" s="7">
        <f t="shared" si="4"/>
        <v>0</v>
      </c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>
        <f t="shared" si="1"/>
        <v>0</v>
      </c>
      <c r="H106" s="7"/>
      <c r="I106" s="7">
        <f t="shared" si="4"/>
        <v>0</v>
      </c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>
        <f t="shared" si="1"/>
        <v>0</v>
      </c>
      <c r="H107" s="7"/>
      <c r="I107" s="7">
        <f t="shared" si="4"/>
        <v>0</v>
      </c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>
        <f t="shared" si="1"/>
        <v>0</v>
      </c>
      <c r="H108" s="7"/>
      <c r="I108" s="7">
        <f t="shared" si="4"/>
        <v>0</v>
      </c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>
        <f t="shared" si="1"/>
        <v>0</v>
      </c>
      <c r="H109" s="7"/>
      <c r="I109" s="7">
        <f t="shared" si="4"/>
        <v>0</v>
      </c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>
        <f t="shared" si="1"/>
        <v>0</v>
      </c>
      <c r="H110" s="7"/>
      <c r="I110" s="7">
        <f t="shared" si="4"/>
        <v>0</v>
      </c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>
        <f t="shared" si="1"/>
        <v>0</v>
      </c>
      <c r="H111" s="7"/>
      <c r="I111" s="7">
        <f t="shared" si="4"/>
        <v>0</v>
      </c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>
        <f t="shared" si="1"/>
        <v>0</v>
      </c>
      <c r="H112" s="7"/>
      <c r="I112" s="7">
        <f t="shared" si="4"/>
        <v>0</v>
      </c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>
        <f t="shared" si="1"/>
        <v>0</v>
      </c>
      <c r="H113" s="7"/>
      <c r="I113" s="7">
        <f t="shared" si="4"/>
        <v>0</v>
      </c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>
        <f t="shared" si="1"/>
        <v>0</v>
      </c>
      <c r="H114" s="7"/>
      <c r="I114" s="7">
        <f t="shared" si="4"/>
        <v>0</v>
      </c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>
        <f t="shared" si="1"/>
        <v>0</v>
      </c>
      <c r="H115" s="7"/>
      <c r="I115" s="7">
        <f t="shared" si="4"/>
        <v>0</v>
      </c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>
        <f t="shared" si="1"/>
        <v>0</v>
      </c>
      <c r="H116" s="7"/>
      <c r="I116" s="7">
        <f t="shared" si="4"/>
        <v>0</v>
      </c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>
        <f t="shared" si="1"/>
        <v>0</v>
      </c>
      <c r="H117" s="7"/>
      <c r="I117" s="7">
        <f t="shared" si="4"/>
        <v>0</v>
      </c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>
        <f t="shared" si="1"/>
        <v>0</v>
      </c>
      <c r="H118" s="7"/>
      <c r="I118" s="7">
        <f t="shared" si="4"/>
        <v>0</v>
      </c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>
        <f t="shared" si="1"/>
        <v>0</v>
      </c>
      <c r="H119" s="7"/>
      <c r="I119" s="7">
        <f t="shared" si="4"/>
        <v>0</v>
      </c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>
        <f t="shared" si="1"/>
        <v>0</v>
      </c>
      <c r="H120" s="7"/>
      <c r="I120" s="7">
        <f t="shared" si="4"/>
        <v>0</v>
      </c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>
        <f t="shared" si="1"/>
        <v>0</v>
      </c>
      <c r="H121" s="7"/>
      <c r="I121" s="7">
        <f t="shared" si="4"/>
        <v>0</v>
      </c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>
        <f t="shared" si="1"/>
        <v>0</v>
      </c>
      <c r="H122" s="7"/>
      <c r="I122" s="7">
        <f t="shared" si="4"/>
        <v>0</v>
      </c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>
        <f t="shared" si="1"/>
        <v>0</v>
      </c>
      <c r="H123" s="7"/>
      <c r="I123" s="7">
        <f t="shared" si="4"/>
        <v>0</v>
      </c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>
        <f t="shared" si="1"/>
        <v>0</v>
      </c>
      <c r="H124" s="7"/>
      <c r="I124" s="7">
        <f t="shared" si="4"/>
        <v>0</v>
      </c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>
        <f t="shared" si="1"/>
        <v>0</v>
      </c>
      <c r="H125" s="7"/>
      <c r="I125" s="7">
        <f t="shared" si="4"/>
        <v>0</v>
      </c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>
        <f t="shared" si="1"/>
        <v>0</v>
      </c>
      <c r="H126" s="7"/>
      <c r="I126" s="7">
        <f t="shared" si="4"/>
        <v>0</v>
      </c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>
        <f t="shared" si="1"/>
        <v>0</v>
      </c>
      <c r="H127" s="7"/>
      <c r="I127" s="7">
        <f t="shared" si="4"/>
        <v>0</v>
      </c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>
        <f t="shared" si="1"/>
        <v>0</v>
      </c>
      <c r="H128" s="7"/>
      <c r="I128" s="7">
        <f t="shared" si="4"/>
        <v>0</v>
      </c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>
        <f t="shared" si="1"/>
        <v>0</v>
      </c>
      <c r="H129" s="7"/>
      <c r="I129" s="7">
        <f t="shared" si="4"/>
        <v>0</v>
      </c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>
        <f t="shared" si="1"/>
        <v>0</v>
      </c>
      <c r="H130" s="7"/>
      <c r="I130" s="7">
        <f t="shared" si="4"/>
        <v>0</v>
      </c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>
        <f t="shared" si="1"/>
        <v>0</v>
      </c>
      <c r="H131" s="7"/>
      <c r="I131" s="7">
        <f t="shared" si="4"/>
        <v>0</v>
      </c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>
        <f t="shared" si="1"/>
        <v>0</v>
      </c>
      <c r="H132" s="7"/>
      <c r="I132" s="7">
        <f t="shared" si="4"/>
        <v>0</v>
      </c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>
        <f t="shared" si="1"/>
        <v>0</v>
      </c>
      <c r="H133" s="7"/>
      <c r="I133" s="7">
        <f t="shared" si="4"/>
        <v>0</v>
      </c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>
        <f t="shared" si="1"/>
        <v>0</v>
      </c>
      <c r="H134" s="7"/>
      <c r="I134" s="7">
        <f t="shared" si="4"/>
        <v>0</v>
      </c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>
        <f t="shared" si="1"/>
        <v>0</v>
      </c>
      <c r="H135" s="7"/>
      <c r="I135" s="7">
        <f t="shared" si="4"/>
        <v>0</v>
      </c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>
        <f t="shared" si="1"/>
        <v>0</v>
      </c>
      <c r="H136" s="7"/>
      <c r="I136" s="7">
        <f t="shared" si="4"/>
        <v>0</v>
      </c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>
        <f t="shared" si="1"/>
        <v>0</v>
      </c>
      <c r="H137" s="7"/>
      <c r="I137" s="7">
        <f t="shared" si="4"/>
        <v>0</v>
      </c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>
        <f t="shared" si="1"/>
        <v>0</v>
      </c>
      <c r="H138" s="7"/>
      <c r="I138" s="7">
        <f t="shared" si="4"/>
        <v>0</v>
      </c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>
        <f t="shared" si="1"/>
        <v>0</v>
      </c>
      <c r="H139" s="7"/>
      <c r="I139" s="7">
        <f t="shared" si="4"/>
        <v>0</v>
      </c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>
        <f t="shared" si="1"/>
        <v>0</v>
      </c>
      <c r="H140" s="7"/>
      <c r="I140" s="7">
        <f t="shared" si="4"/>
        <v>0</v>
      </c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>
        <f t="shared" si="1"/>
        <v>0</v>
      </c>
      <c r="H141" s="7"/>
      <c r="I141" s="7">
        <f t="shared" si="4"/>
        <v>0</v>
      </c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>
        <f t="shared" si="1"/>
        <v>0</v>
      </c>
      <c r="H142" s="7"/>
      <c r="I142" s="7">
        <f t="shared" si="4"/>
        <v>0</v>
      </c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>
        <f t="shared" si="1"/>
        <v>0</v>
      </c>
      <c r="H143" s="7"/>
      <c r="I143" s="7">
        <f t="shared" si="4"/>
        <v>0</v>
      </c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>
        <f t="shared" si="1"/>
        <v>0</v>
      </c>
      <c r="H144" s="7"/>
      <c r="I144" s="7">
        <f t="shared" si="4"/>
        <v>0</v>
      </c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>
        <f t="shared" si="1"/>
        <v>0</v>
      </c>
      <c r="H145" s="7"/>
      <c r="I145" s="7">
        <f t="shared" si="4"/>
        <v>0</v>
      </c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>
        <f t="shared" si="1"/>
        <v>0</v>
      </c>
      <c r="H146" s="7"/>
      <c r="I146" s="7">
        <f t="shared" si="4"/>
        <v>0</v>
      </c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>
        <f t="shared" si="1"/>
        <v>0</v>
      </c>
      <c r="H147" s="7"/>
      <c r="I147" s="7">
        <f t="shared" si="4"/>
        <v>0</v>
      </c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>
        <f t="shared" si="1"/>
        <v>0</v>
      </c>
      <c r="H148" s="7"/>
      <c r="I148" s="7">
        <f t="shared" si="4"/>
        <v>0</v>
      </c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>
        <f t="shared" si="1"/>
        <v>0</v>
      </c>
      <c r="H149" s="7"/>
      <c r="I149" s="7">
        <f t="shared" si="4"/>
        <v>0</v>
      </c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>
        <f t="shared" si="1"/>
        <v>0</v>
      </c>
      <c r="H150" s="7"/>
      <c r="I150" s="7">
        <f t="shared" si="4"/>
        <v>0</v>
      </c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>
        <f t="shared" si="1"/>
        <v>0</v>
      </c>
      <c r="H151" s="7"/>
      <c r="I151" s="7">
        <f t="shared" si="4"/>
        <v>0</v>
      </c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>
        <f t="shared" si="1"/>
        <v>0</v>
      </c>
      <c r="H152" s="7"/>
      <c r="I152" s="7">
        <f t="shared" si="4"/>
        <v>0</v>
      </c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>
        <f t="shared" si="1"/>
        <v>0</v>
      </c>
      <c r="H153" s="7"/>
      <c r="I153" s="7">
        <f t="shared" si="4"/>
        <v>0</v>
      </c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>
        <f t="shared" si="1"/>
        <v>0</v>
      </c>
      <c r="H154" s="7"/>
      <c r="I154" s="7">
        <f t="shared" si="4"/>
        <v>0</v>
      </c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>
        <f t="shared" si="1"/>
        <v>0</v>
      </c>
      <c r="H155" s="7"/>
      <c r="I155" s="7">
        <f t="shared" si="4"/>
        <v>0</v>
      </c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>
        <f t="shared" si="1"/>
        <v>0</v>
      </c>
      <c r="H156" s="7"/>
      <c r="I156" s="7">
        <f t="shared" si="4"/>
        <v>0</v>
      </c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>
        <f t="shared" si="1"/>
        <v>0</v>
      </c>
      <c r="H157" s="7"/>
      <c r="I157" s="7">
        <f t="shared" si="4"/>
        <v>0</v>
      </c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>
        <f t="shared" si="1"/>
        <v>0</v>
      </c>
      <c r="H158" s="7"/>
      <c r="I158" s="7">
        <f t="shared" si="4"/>
        <v>0</v>
      </c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>
        <f t="shared" si="1"/>
        <v>0</v>
      </c>
      <c r="H159" s="7"/>
      <c r="I159" s="7">
        <f t="shared" si="4"/>
        <v>0</v>
      </c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>
        <f t="shared" si="1"/>
        <v>0</v>
      </c>
      <c r="H160" s="7"/>
      <c r="I160" s="7">
        <f t="shared" si="4"/>
        <v>0</v>
      </c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>
        <f t="shared" si="1"/>
        <v>0</v>
      </c>
      <c r="H161" s="7"/>
      <c r="I161" s="7">
        <f t="shared" si="4"/>
        <v>0</v>
      </c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>
        <f t="shared" si="1"/>
        <v>0</v>
      </c>
      <c r="H162" s="7"/>
      <c r="I162" s="7">
        <f t="shared" si="4"/>
        <v>0</v>
      </c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>
        <f t="shared" si="1"/>
        <v>0</v>
      </c>
      <c r="H163" s="7"/>
      <c r="I163" s="7">
        <f t="shared" si="4"/>
        <v>0</v>
      </c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>
        <f t="shared" si="1"/>
        <v>0</v>
      </c>
      <c r="H164" s="7"/>
      <c r="I164" s="7">
        <f t="shared" si="4"/>
        <v>0</v>
      </c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>
        <f t="shared" si="1"/>
        <v>0</v>
      </c>
      <c r="H165" s="7"/>
      <c r="I165" s="7">
        <f t="shared" si="4"/>
        <v>0</v>
      </c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>
        <f t="shared" si="1"/>
        <v>0</v>
      </c>
      <c r="H166" s="7"/>
      <c r="I166" s="7">
        <f t="shared" si="4"/>
        <v>0</v>
      </c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>
        <f t="shared" si="1"/>
        <v>0</v>
      </c>
      <c r="H167" s="7"/>
      <c r="I167" s="7">
        <f t="shared" si="4"/>
        <v>0</v>
      </c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>
        <f t="shared" si="1"/>
        <v>0</v>
      </c>
      <c r="H168" s="7"/>
      <c r="I168" s="7">
        <f t="shared" si="4"/>
        <v>0</v>
      </c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>
        <f t="shared" si="1"/>
        <v>0</v>
      </c>
      <c r="H169" s="7"/>
      <c r="I169" s="7">
        <f t="shared" si="4"/>
        <v>0</v>
      </c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>
        <f t="shared" si="1"/>
        <v>0</v>
      </c>
      <c r="H170" s="7"/>
      <c r="I170" s="7">
        <f t="shared" si="4"/>
        <v>0</v>
      </c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>
        <f t="shared" si="1"/>
        <v>0</v>
      </c>
      <c r="H171" s="7"/>
      <c r="I171" s="7">
        <f t="shared" si="4"/>
        <v>0</v>
      </c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>
        <f t="shared" si="1"/>
        <v>0</v>
      </c>
      <c r="H172" s="7"/>
      <c r="I172" s="7">
        <f t="shared" si="4"/>
        <v>0</v>
      </c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>
        <f t="shared" si="1"/>
        <v>0</v>
      </c>
      <c r="H173" s="7"/>
      <c r="I173" s="7">
        <f t="shared" si="4"/>
        <v>0</v>
      </c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>
        <f t="shared" si="1"/>
        <v>0</v>
      </c>
      <c r="H174" s="7"/>
      <c r="I174" s="7">
        <f t="shared" si="4"/>
        <v>0</v>
      </c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>
        <f t="shared" si="1"/>
        <v>0</v>
      </c>
      <c r="H175" s="7"/>
      <c r="I175" s="7">
        <f t="shared" si="4"/>
        <v>0</v>
      </c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>
        <f t="shared" si="1"/>
        <v>0</v>
      </c>
      <c r="H176" s="7"/>
      <c r="I176" s="7">
        <f t="shared" si="4"/>
        <v>0</v>
      </c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>
        <f t="shared" si="1"/>
        <v>0</v>
      </c>
      <c r="H177" s="7"/>
      <c r="I177" s="7">
        <f t="shared" si="4"/>
        <v>0</v>
      </c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>
        <f t="shared" si="1"/>
        <v>0</v>
      </c>
      <c r="H178" s="7"/>
      <c r="I178" s="7">
        <f t="shared" si="4"/>
        <v>0</v>
      </c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>
        <f t="shared" si="1"/>
        <v>0</v>
      </c>
      <c r="H179" s="7"/>
      <c r="I179" s="7">
        <f t="shared" si="4"/>
        <v>0</v>
      </c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>
        <f t="shared" si="1"/>
        <v>0</v>
      </c>
      <c r="H180" s="7"/>
      <c r="I180" s="7">
        <f t="shared" si="4"/>
        <v>0</v>
      </c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>
        <f t="shared" si="1"/>
        <v>0</v>
      </c>
      <c r="H181" s="7"/>
      <c r="I181" s="7">
        <f t="shared" si="4"/>
        <v>0</v>
      </c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>
        <f t="shared" si="1"/>
        <v>0</v>
      </c>
      <c r="H182" s="7"/>
      <c r="I182" s="7">
        <f t="shared" si="4"/>
        <v>0</v>
      </c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>
        <f t="shared" si="1"/>
        <v>0</v>
      </c>
      <c r="H183" s="7"/>
      <c r="I183" s="7">
        <f t="shared" si="4"/>
        <v>0</v>
      </c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>
        <f t="shared" si="1"/>
        <v>0</v>
      </c>
      <c r="H184" s="7"/>
      <c r="I184" s="7">
        <f t="shared" si="4"/>
        <v>0</v>
      </c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>
        <f t="shared" si="1"/>
        <v>0</v>
      </c>
      <c r="H185" s="7"/>
      <c r="I185" s="7">
        <f t="shared" si="4"/>
        <v>0</v>
      </c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>
        <f t="shared" si="1"/>
        <v>0</v>
      </c>
      <c r="H186" s="7"/>
      <c r="I186" s="7">
        <f t="shared" si="4"/>
        <v>0</v>
      </c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>
        <f t="shared" si="1"/>
        <v>0</v>
      </c>
      <c r="H187" s="7"/>
      <c r="I187" s="7">
        <f t="shared" si="4"/>
        <v>0</v>
      </c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>
        <f t="shared" si="1"/>
        <v>0</v>
      </c>
      <c r="H188" s="7"/>
      <c r="I188" s="7">
        <f t="shared" si="4"/>
        <v>0</v>
      </c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>
        <f t="shared" si="1"/>
        <v>0</v>
      </c>
      <c r="H189" s="7"/>
      <c r="I189" s="7">
        <f t="shared" si="4"/>
        <v>0</v>
      </c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>
        <f t="shared" si="1"/>
        <v>0</v>
      </c>
      <c r="H190" s="7"/>
      <c r="I190" s="7">
        <f t="shared" si="4"/>
        <v>0</v>
      </c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>
        <f t="shared" si="1"/>
        <v>0</v>
      </c>
      <c r="H191" s="7"/>
      <c r="I191" s="7">
        <f t="shared" si="4"/>
        <v>0</v>
      </c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>
        <f t="shared" si="1"/>
        <v>0</v>
      </c>
      <c r="H192" s="7"/>
      <c r="I192" s="7">
        <f t="shared" si="4"/>
        <v>0</v>
      </c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>
        <f t="shared" si="1"/>
        <v>0</v>
      </c>
      <c r="H193" s="7"/>
      <c r="I193" s="7">
        <f t="shared" si="4"/>
        <v>0</v>
      </c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>
        <f t="shared" si="1"/>
        <v>0</v>
      </c>
      <c r="H194" s="7"/>
      <c r="I194" s="7">
        <f t="shared" si="4"/>
        <v>0</v>
      </c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>
        <f t="shared" si="1"/>
        <v>0</v>
      </c>
      <c r="H195" s="7"/>
      <c r="I195" s="7">
        <f t="shared" si="4"/>
        <v>0</v>
      </c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>
        <f t="shared" si="1"/>
        <v>0</v>
      </c>
      <c r="H196" s="7"/>
      <c r="I196" s="7">
        <f t="shared" si="4"/>
        <v>0</v>
      </c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>
        <f t="shared" si="1"/>
        <v>0</v>
      </c>
      <c r="H197" s="7"/>
      <c r="I197" s="7">
        <f t="shared" si="4"/>
        <v>0</v>
      </c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>
        <f t="shared" si="1"/>
        <v>0</v>
      </c>
      <c r="H198" s="7"/>
      <c r="I198" s="7">
        <f t="shared" si="4"/>
        <v>0</v>
      </c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>
        <f t="shared" si="1"/>
        <v>0</v>
      </c>
      <c r="H199" s="7"/>
      <c r="I199" s="7">
        <f t="shared" si="4"/>
        <v>0</v>
      </c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>
        <f t="shared" si="1"/>
        <v>0</v>
      </c>
      <c r="H200" s="7"/>
      <c r="I200" s="7">
        <f t="shared" si="4"/>
        <v>0</v>
      </c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>
        <f t="shared" si="1"/>
        <v>0</v>
      </c>
      <c r="H201" s="7"/>
      <c r="I201" s="7">
        <f t="shared" si="4"/>
        <v>0</v>
      </c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>
        <f t="shared" si="1"/>
        <v>0</v>
      </c>
      <c r="H202" s="7"/>
      <c r="I202" s="7">
        <f t="shared" si="4"/>
        <v>0</v>
      </c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>
        <f t="shared" si="1"/>
        <v>0</v>
      </c>
      <c r="H203" s="7"/>
      <c r="I203" s="7">
        <f t="shared" si="4"/>
        <v>0</v>
      </c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>
        <f t="shared" si="1"/>
        <v>0</v>
      </c>
      <c r="H204" s="7"/>
      <c r="I204" s="7">
        <f t="shared" si="4"/>
        <v>0</v>
      </c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>
        <f t="shared" si="1"/>
        <v>0</v>
      </c>
      <c r="H205" s="7"/>
      <c r="I205" s="7">
        <f t="shared" si="4"/>
        <v>0</v>
      </c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>
        <f t="shared" si="1"/>
        <v>0</v>
      </c>
      <c r="H206" s="7"/>
      <c r="I206" s="7">
        <f t="shared" si="4"/>
        <v>0</v>
      </c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>
        <f t="shared" si="1"/>
        <v>0</v>
      </c>
      <c r="H207" s="7"/>
      <c r="I207" s="7">
        <f t="shared" si="4"/>
        <v>0</v>
      </c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>
        <f t="shared" si="1"/>
        <v>0</v>
      </c>
      <c r="H208" s="7"/>
      <c r="I208" s="7">
        <f t="shared" si="4"/>
        <v>0</v>
      </c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>
        <f t="shared" si="1"/>
        <v>0</v>
      </c>
      <c r="H209" s="7"/>
      <c r="I209" s="7">
        <f t="shared" si="4"/>
        <v>0</v>
      </c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>
        <f t="shared" si="1"/>
        <v>0</v>
      </c>
      <c r="H210" s="7"/>
      <c r="I210" s="7">
        <f t="shared" si="4"/>
        <v>0</v>
      </c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>
        <f t="shared" si="1"/>
        <v>0</v>
      </c>
      <c r="H211" s="7"/>
      <c r="I211" s="7">
        <f t="shared" si="4"/>
        <v>0</v>
      </c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>
        <f t="shared" si="1"/>
        <v>0</v>
      </c>
      <c r="H212" s="7"/>
      <c r="I212" s="7">
        <f t="shared" si="4"/>
        <v>0</v>
      </c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>
        <f t="shared" si="1"/>
        <v>0</v>
      </c>
      <c r="H213" s="7"/>
      <c r="I213" s="7">
        <f t="shared" si="4"/>
        <v>0</v>
      </c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>
        <f t="shared" si="1"/>
        <v>0</v>
      </c>
      <c r="H214" s="7"/>
      <c r="I214" s="7">
        <f t="shared" si="4"/>
        <v>0</v>
      </c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>
        <f t="shared" si="1"/>
        <v>0</v>
      </c>
      <c r="H215" s="7"/>
      <c r="I215" s="7">
        <f t="shared" si="4"/>
        <v>0</v>
      </c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>
        <f t="shared" si="1"/>
        <v>0</v>
      </c>
      <c r="H216" s="7"/>
      <c r="I216" s="7">
        <f t="shared" si="4"/>
        <v>0</v>
      </c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>
        <f t="shared" si="1"/>
        <v>0</v>
      </c>
      <c r="H217" s="7"/>
      <c r="I217" s="7">
        <f t="shared" si="4"/>
        <v>0</v>
      </c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>
        <f t="shared" si="1"/>
        <v>0</v>
      </c>
      <c r="H218" s="7"/>
      <c r="I218" s="7">
        <f t="shared" si="4"/>
        <v>0</v>
      </c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>
        <f t="shared" si="1"/>
        <v>0</v>
      </c>
      <c r="H219" s="7"/>
      <c r="I219" s="7">
        <f t="shared" si="4"/>
        <v>0</v>
      </c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>
        <f t="shared" si="1"/>
        <v>0</v>
      </c>
      <c r="H220" s="7"/>
      <c r="I220" s="7">
        <f t="shared" si="4"/>
        <v>0</v>
      </c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>
        <f t="shared" si="1"/>
        <v>0</v>
      </c>
      <c r="H221" s="7"/>
      <c r="I221" s="7">
        <f t="shared" si="4"/>
        <v>0</v>
      </c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>
        <f t="shared" si="1"/>
        <v>0</v>
      </c>
      <c r="H222" s="7"/>
      <c r="I222" s="7">
        <f t="shared" si="4"/>
        <v>0</v>
      </c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>
        <f t="shared" si="1"/>
        <v>0</v>
      </c>
      <c r="H223" s="7"/>
      <c r="I223" s="7">
        <f t="shared" si="4"/>
        <v>0</v>
      </c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>
        <f t="shared" si="1"/>
        <v>0</v>
      </c>
      <c r="H224" s="7"/>
      <c r="I224" s="7">
        <f t="shared" si="4"/>
        <v>0</v>
      </c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>
        <f t="shared" si="1"/>
        <v>0</v>
      </c>
      <c r="H225" s="7"/>
      <c r="I225" s="7">
        <f t="shared" si="4"/>
        <v>0</v>
      </c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>
        <f t="shared" si="1"/>
        <v>0</v>
      </c>
      <c r="H226" s="7"/>
      <c r="I226" s="7">
        <f t="shared" si="4"/>
        <v>0</v>
      </c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>
        <f t="shared" si="1"/>
        <v>0</v>
      </c>
      <c r="H227" s="7"/>
      <c r="I227" s="7">
        <f t="shared" si="4"/>
        <v>0</v>
      </c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>
        <f t="shared" si="1"/>
        <v>0</v>
      </c>
      <c r="H228" s="7"/>
      <c r="I228" s="7">
        <f t="shared" si="4"/>
        <v>0</v>
      </c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>
        <f t="shared" si="1"/>
        <v>0</v>
      </c>
      <c r="H229" s="7"/>
      <c r="I229" s="7">
        <f t="shared" si="4"/>
        <v>0</v>
      </c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>
        <f t="shared" si="1"/>
        <v>0</v>
      </c>
      <c r="H230" s="7"/>
      <c r="I230" s="7">
        <f t="shared" si="4"/>
        <v>0</v>
      </c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>
        <f t="shared" si="1"/>
        <v>0</v>
      </c>
      <c r="H231" s="7"/>
      <c r="I231" s="7">
        <f t="shared" si="4"/>
        <v>0</v>
      </c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>
        <f t="shared" si="1"/>
        <v>0</v>
      </c>
      <c r="H232" s="7"/>
      <c r="I232" s="7">
        <f t="shared" si="4"/>
        <v>0</v>
      </c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>
        <f t="shared" si="1"/>
        <v>0</v>
      </c>
      <c r="H233" s="7"/>
      <c r="I233" s="7">
        <f t="shared" si="4"/>
        <v>0</v>
      </c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>
        <f t="shared" si="1"/>
        <v>0</v>
      </c>
      <c r="H234" s="7"/>
      <c r="I234" s="7">
        <f t="shared" si="4"/>
        <v>0</v>
      </c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>
        <f t="shared" si="1"/>
        <v>0</v>
      </c>
      <c r="H235" s="7"/>
      <c r="I235" s="7">
        <f t="shared" si="4"/>
        <v>0</v>
      </c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>
        <f t="shared" si="1"/>
        <v>0</v>
      </c>
      <c r="H236" s="7"/>
      <c r="I236" s="7">
        <f t="shared" si="4"/>
        <v>0</v>
      </c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>
        <f t="shared" si="1"/>
        <v>0</v>
      </c>
      <c r="H237" s="7"/>
      <c r="I237" s="7">
        <f t="shared" si="4"/>
        <v>0</v>
      </c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>
        <f t="shared" si="1"/>
        <v>0</v>
      </c>
      <c r="H238" s="7"/>
      <c r="I238" s="7">
        <f t="shared" si="4"/>
        <v>0</v>
      </c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>
        <f t="shared" si="1"/>
        <v>0</v>
      </c>
      <c r="H239" s="7"/>
      <c r="I239" s="7">
        <f t="shared" si="4"/>
        <v>0</v>
      </c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>
        <f t="shared" si="1"/>
        <v>0</v>
      </c>
      <c r="H240" s="7"/>
      <c r="I240" s="7">
        <f t="shared" si="4"/>
        <v>0</v>
      </c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>
        <f t="shared" si="1"/>
        <v>0</v>
      </c>
      <c r="H241" s="7"/>
      <c r="I241" s="7">
        <f t="shared" si="4"/>
        <v>0</v>
      </c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>
        <f t="shared" si="1"/>
        <v>0</v>
      </c>
      <c r="H242" s="7"/>
      <c r="I242" s="7">
        <f t="shared" si="4"/>
        <v>0</v>
      </c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>
        <f t="shared" si="1"/>
        <v>0</v>
      </c>
      <c r="H243" s="7"/>
      <c r="I243" s="7">
        <f t="shared" si="4"/>
        <v>0</v>
      </c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>
        <f t="shared" si="1"/>
        <v>0</v>
      </c>
      <c r="H244" s="7"/>
      <c r="I244" s="7">
        <f t="shared" si="4"/>
        <v>0</v>
      </c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>
        <f t="shared" si="1"/>
        <v>0</v>
      </c>
      <c r="H245" s="7"/>
      <c r="I245" s="7">
        <f t="shared" si="4"/>
        <v>0</v>
      </c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>
        <f t="shared" si="1"/>
        <v>0</v>
      </c>
      <c r="H246" s="7"/>
      <c r="I246" s="7">
        <f t="shared" si="4"/>
        <v>0</v>
      </c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>
        <f t="shared" si="1"/>
        <v>0</v>
      </c>
      <c r="H247" s="7"/>
      <c r="I247" s="7">
        <f t="shared" si="4"/>
        <v>0</v>
      </c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>
        <f t="shared" si="1"/>
        <v>0</v>
      </c>
      <c r="H248" s="7"/>
      <c r="I248" s="7">
        <f t="shared" si="4"/>
        <v>0</v>
      </c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>
        <f t="shared" si="1"/>
        <v>0</v>
      </c>
      <c r="H249" s="7"/>
      <c r="I249" s="7">
        <f t="shared" si="4"/>
        <v>0</v>
      </c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>
        <f t="shared" si="1"/>
        <v>0</v>
      </c>
      <c r="H250" s="7"/>
      <c r="I250" s="7">
        <f t="shared" si="4"/>
        <v>0</v>
      </c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>
        <f t="shared" si="1"/>
        <v>0</v>
      </c>
      <c r="H251" s="7"/>
      <c r="I251" s="7">
        <f t="shared" si="4"/>
        <v>0</v>
      </c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>
        <f t="shared" si="1"/>
        <v>0</v>
      </c>
      <c r="H252" s="7"/>
      <c r="I252" s="7">
        <f t="shared" si="4"/>
        <v>0</v>
      </c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>
        <f t="shared" si="1"/>
        <v>0</v>
      </c>
      <c r="H253" s="7"/>
      <c r="I253" s="7">
        <f t="shared" si="4"/>
        <v>0</v>
      </c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>
        <f t="shared" si="1"/>
        <v>0</v>
      </c>
      <c r="H254" s="7"/>
      <c r="I254" s="7">
        <f t="shared" si="4"/>
        <v>0</v>
      </c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>
        <f t="shared" si="1"/>
        <v>0</v>
      </c>
      <c r="H255" s="7"/>
      <c r="I255" s="7">
        <f t="shared" si="4"/>
        <v>0</v>
      </c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>
        <f t="shared" si="1"/>
        <v>0</v>
      </c>
      <c r="H256" s="7"/>
      <c r="I256" s="7">
        <f t="shared" si="4"/>
        <v>0</v>
      </c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>
        <f t="shared" si="1"/>
        <v>0</v>
      </c>
      <c r="H257" s="7"/>
      <c r="I257" s="7">
        <f t="shared" si="4"/>
        <v>0</v>
      </c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>
        <f t="shared" si="1"/>
        <v>0</v>
      </c>
      <c r="H258" s="7"/>
      <c r="I258" s="7">
        <f t="shared" si="4"/>
        <v>0</v>
      </c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>
        <f t="shared" si="1"/>
        <v>0</v>
      </c>
      <c r="H259" s="7"/>
      <c r="I259" s="7">
        <f t="shared" si="4"/>
        <v>0</v>
      </c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>
        <f t="shared" si="1"/>
        <v>0</v>
      </c>
      <c r="H260" s="7"/>
      <c r="I260" s="7">
        <f t="shared" si="4"/>
        <v>0</v>
      </c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>
        <f t="shared" si="1"/>
        <v>0</v>
      </c>
      <c r="H261" s="7"/>
      <c r="I261" s="7">
        <f t="shared" si="4"/>
        <v>0</v>
      </c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>
        <f t="shared" si="1"/>
        <v>0</v>
      </c>
      <c r="H262" s="7"/>
      <c r="I262" s="7">
        <f t="shared" si="4"/>
        <v>0</v>
      </c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>
        <f t="shared" si="1"/>
        <v>0</v>
      </c>
      <c r="H263" s="7"/>
      <c r="I263" s="7">
        <f t="shared" si="4"/>
        <v>0</v>
      </c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>
        <f t="shared" si="1"/>
        <v>0</v>
      </c>
      <c r="H264" s="7"/>
      <c r="I264" s="7">
        <f t="shared" si="4"/>
        <v>0</v>
      </c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>
        <f t="shared" si="1"/>
        <v>0</v>
      </c>
      <c r="H265" s="7"/>
      <c r="I265" s="7">
        <f t="shared" si="4"/>
        <v>0</v>
      </c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>
        <f t="shared" si="1"/>
        <v>0</v>
      </c>
      <c r="H266" s="7"/>
      <c r="I266" s="7">
        <f t="shared" si="4"/>
        <v>0</v>
      </c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>
        <f t="shared" si="1"/>
        <v>0</v>
      </c>
      <c r="H267" s="7"/>
      <c r="I267" s="7">
        <f t="shared" si="4"/>
        <v>0</v>
      </c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>
        <f t="shared" si="1"/>
        <v>0</v>
      </c>
      <c r="H268" s="7"/>
      <c r="I268" s="7">
        <f t="shared" si="4"/>
        <v>0</v>
      </c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>
        <f t="shared" si="1"/>
        <v>0</v>
      </c>
      <c r="H269" s="7"/>
      <c r="I269" s="7">
        <f t="shared" si="4"/>
        <v>0</v>
      </c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>
        <f t="shared" si="1"/>
        <v>0</v>
      </c>
      <c r="H270" s="7"/>
      <c r="I270" s="7">
        <f t="shared" si="4"/>
        <v>0</v>
      </c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>
        <f t="shared" si="1"/>
        <v>0</v>
      </c>
      <c r="H271" s="7"/>
      <c r="I271" s="7">
        <f t="shared" si="4"/>
        <v>0</v>
      </c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>
        <f t="shared" si="1"/>
        <v>0</v>
      </c>
      <c r="H272" s="7"/>
      <c r="I272" s="7">
        <f t="shared" si="4"/>
        <v>0</v>
      </c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>
        <f t="shared" si="1"/>
        <v>0</v>
      </c>
      <c r="H273" s="7"/>
      <c r="I273" s="7">
        <f t="shared" si="4"/>
        <v>0</v>
      </c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>
        <f t="shared" si="1"/>
        <v>0</v>
      </c>
      <c r="H274" s="7"/>
      <c r="I274" s="7">
        <f t="shared" si="4"/>
        <v>0</v>
      </c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>
        <f t="shared" si="1"/>
        <v>0</v>
      </c>
      <c r="H275" s="7"/>
      <c r="I275" s="7">
        <f t="shared" si="4"/>
        <v>0</v>
      </c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>
        <f t="shared" si="1"/>
        <v>0</v>
      </c>
      <c r="H276" s="7"/>
      <c r="I276" s="7">
        <f t="shared" si="4"/>
        <v>0</v>
      </c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>
        <f t="shared" si="1"/>
        <v>0</v>
      </c>
      <c r="H277" s="7"/>
      <c r="I277" s="7">
        <f t="shared" si="4"/>
        <v>0</v>
      </c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>
        <f t="shared" si="1"/>
        <v>0</v>
      </c>
      <c r="H278" s="7"/>
      <c r="I278" s="7">
        <f t="shared" si="4"/>
        <v>0</v>
      </c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>
        <f t="shared" si="1"/>
        <v>0</v>
      </c>
      <c r="H279" s="7"/>
      <c r="I279" s="7">
        <f t="shared" si="4"/>
        <v>0</v>
      </c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>
        <f t="shared" si="1"/>
        <v>0</v>
      </c>
      <c r="H280" s="7"/>
      <c r="I280" s="7">
        <f t="shared" si="4"/>
        <v>0</v>
      </c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>
        <f t="shared" si="1"/>
        <v>0</v>
      </c>
      <c r="H281" s="7"/>
      <c r="I281" s="7">
        <f t="shared" si="4"/>
        <v>0</v>
      </c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>
        <f t="shared" si="1"/>
        <v>0</v>
      </c>
      <c r="H282" s="7"/>
      <c r="I282" s="7">
        <f t="shared" si="4"/>
        <v>0</v>
      </c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>
        <f t="shared" si="1"/>
        <v>0</v>
      </c>
      <c r="H283" s="7"/>
      <c r="I283" s="7">
        <f t="shared" si="4"/>
        <v>0</v>
      </c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>
        <f t="shared" si="1"/>
        <v>0</v>
      </c>
      <c r="H284" s="7"/>
      <c r="I284" s="7">
        <f t="shared" si="4"/>
        <v>0</v>
      </c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>
        <f t="shared" si="1"/>
        <v>0</v>
      </c>
      <c r="H285" s="7"/>
      <c r="I285" s="7">
        <f t="shared" si="4"/>
        <v>0</v>
      </c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>
        <f t="shared" si="1"/>
        <v>0</v>
      </c>
      <c r="H286" s="7"/>
      <c r="I286" s="7">
        <f t="shared" si="4"/>
        <v>0</v>
      </c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>
        <f t="shared" si="1"/>
        <v>0</v>
      </c>
      <c r="H287" s="7"/>
      <c r="I287" s="7">
        <f t="shared" si="4"/>
        <v>0</v>
      </c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>
        <f t="shared" si="1"/>
        <v>0</v>
      </c>
      <c r="H288" s="7"/>
      <c r="I288" s="7">
        <f t="shared" si="4"/>
        <v>0</v>
      </c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>
        <f t="shared" si="1"/>
        <v>0</v>
      </c>
      <c r="H289" s="7"/>
      <c r="I289" s="7">
        <f t="shared" si="4"/>
        <v>0</v>
      </c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>
        <f t="shared" si="1"/>
        <v>0</v>
      </c>
      <c r="H290" s="7"/>
      <c r="I290" s="7">
        <f t="shared" si="4"/>
        <v>0</v>
      </c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>
        <f t="shared" si="1"/>
        <v>0</v>
      </c>
      <c r="H291" s="7"/>
      <c r="I291" s="7">
        <f t="shared" si="4"/>
        <v>0</v>
      </c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>
        <f t="shared" si="1"/>
        <v>0</v>
      </c>
      <c r="H292" s="7"/>
      <c r="I292" s="7">
        <f t="shared" si="4"/>
        <v>0</v>
      </c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>
        <f t="shared" si="1"/>
        <v>0</v>
      </c>
      <c r="H293" s="7"/>
      <c r="I293" s="7">
        <f t="shared" si="4"/>
        <v>0</v>
      </c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>
        <f t="shared" si="1"/>
        <v>0</v>
      </c>
      <c r="H294" s="7"/>
      <c r="I294" s="7">
        <f t="shared" si="4"/>
        <v>0</v>
      </c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>
        <f t="shared" si="1"/>
        <v>0</v>
      </c>
      <c r="H295" s="7"/>
      <c r="I295" s="7">
        <f t="shared" si="4"/>
        <v>0</v>
      </c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>
        <f t="shared" si="1"/>
        <v>0</v>
      </c>
      <c r="H296" s="7"/>
      <c r="I296" s="7">
        <f t="shared" si="4"/>
        <v>0</v>
      </c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>
        <f t="shared" si="1"/>
        <v>0</v>
      </c>
      <c r="H297" s="7"/>
      <c r="I297" s="7">
        <f t="shared" si="4"/>
        <v>0</v>
      </c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>
        <f t="shared" si="1"/>
        <v>0</v>
      </c>
      <c r="H298" s="7"/>
      <c r="I298" s="7">
        <f t="shared" si="4"/>
        <v>0</v>
      </c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>
        <f t="shared" si="1"/>
        <v>0</v>
      </c>
      <c r="H299" s="7"/>
      <c r="I299" s="7">
        <f t="shared" si="4"/>
        <v>0</v>
      </c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>
        <f t="shared" si="1"/>
        <v>0</v>
      </c>
      <c r="H300" s="7"/>
      <c r="I300" s="7">
        <f t="shared" si="4"/>
        <v>0</v>
      </c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>
        <f t="shared" si="1"/>
        <v>0</v>
      </c>
      <c r="H301" s="7"/>
      <c r="I301" s="7">
        <f t="shared" si="4"/>
        <v>0</v>
      </c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>
        <f t="shared" si="1"/>
        <v>0</v>
      </c>
      <c r="H302" s="7"/>
      <c r="I302" s="7">
        <f t="shared" si="4"/>
        <v>0</v>
      </c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>
        <f t="shared" si="1"/>
        <v>0</v>
      </c>
      <c r="H303" s="7"/>
      <c r="I303" s="7">
        <f t="shared" si="4"/>
        <v>0</v>
      </c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>
        <f t="shared" si="1"/>
        <v>0</v>
      </c>
      <c r="H304" s="7"/>
      <c r="I304" s="7">
        <f t="shared" si="4"/>
        <v>0</v>
      </c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>
        <f t="shared" si="1"/>
        <v>0</v>
      </c>
      <c r="H305" s="7"/>
      <c r="I305" s="7">
        <f t="shared" si="4"/>
        <v>0</v>
      </c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>
        <f t="shared" si="1"/>
        <v>0</v>
      </c>
      <c r="H306" s="7"/>
      <c r="I306" s="7">
        <f t="shared" si="4"/>
        <v>0</v>
      </c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>
        <f t="shared" si="1"/>
        <v>0</v>
      </c>
      <c r="H307" s="7"/>
      <c r="I307" s="7">
        <f t="shared" si="4"/>
        <v>0</v>
      </c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>
        <f t="shared" si="1"/>
        <v>0</v>
      </c>
      <c r="H308" s="7"/>
      <c r="I308" s="7">
        <f t="shared" si="4"/>
        <v>0</v>
      </c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>
        <f t="shared" si="1"/>
        <v>0</v>
      </c>
      <c r="H309" s="7"/>
      <c r="I309" s="7">
        <f t="shared" si="4"/>
        <v>0</v>
      </c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>
        <f t="shared" si="1"/>
        <v>0</v>
      </c>
      <c r="H310" s="7"/>
      <c r="I310" s="7">
        <f t="shared" si="4"/>
        <v>0</v>
      </c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>
        <f t="shared" si="1"/>
        <v>0</v>
      </c>
      <c r="H311" s="7"/>
      <c r="I311" s="7">
        <f t="shared" si="4"/>
        <v>0</v>
      </c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>
        <f t="shared" si="1"/>
        <v>0</v>
      </c>
      <c r="H312" s="7"/>
      <c r="I312" s="7">
        <f t="shared" si="4"/>
        <v>0</v>
      </c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>
        <f t="shared" si="1"/>
        <v>0</v>
      </c>
      <c r="H313" s="7"/>
      <c r="I313" s="7">
        <f t="shared" si="4"/>
        <v>0</v>
      </c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>
        <f t="shared" si="1"/>
        <v>0</v>
      </c>
      <c r="H314" s="7"/>
      <c r="I314" s="7">
        <f t="shared" si="4"/>
        <v>0</v>
      </c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>
        <f t="shared" si="1"/>
        <v>0</v>
      </c>
      <c r="H315" s="7"/>
      <c r="I315" s="7">
        <f t="shared" si="4"/>
        <v>0</v>
      </c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>
        <f t="shared" si="1"/>
        <v>0</v>
      </c>
      <c r="H316" s="7"/>
      <c r="I316" s="7">
        <f t="shared" si="4"/>
        <v>0</v>
      </c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>
        <f t="shared" si="1"/>
        <v>0</v>
      </c>
      <c r="H317" s="7"/>
      <c r="I317" s="7">
        <f t="shared" si="4"/>
        <v>0</v>
      </c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>
        <f t="shared" si="1"/>
        <v>0</v>
      </c>
      <c r="H318" s="7"/>
      <c r="I318" s="7">
        <f t="shared" si="4"/>
        <v>0</v>
      </c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>
        <f t="shared" si="1"/>
        <v>0</v>
      </c>
      <c r="H319" s="7"/>
      <c r="I319" s="7">
        <f t="shared" si="4"/>
        <v>0</v>
      </c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>
        <f t="shared" si="1"/>
        <v>0</v>
      </c>
      <c r="H320" s="7"/>
      <c r="I320" s="7">
        <f t="shared" si="4"/>
        <v>0</v>
      </c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>
        <f t="shared" si="1"/>
        <v>0</v>
      </c>
      <c r="H321" s="7"/>
      <c r="I321" s="7">
        <f t="shared" si="4"/>
        <v>0</v>
      </c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>
        <f t="shared" si="1"/>
        <v>0</v>
      </c>
      <c r="H322" s="7"/>
      <c r="I322" s="7">
        <f t="shared" si="4"/>
        <v>0</v>
      </c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>
        <f t="shared" si="1"/>
        <v>0</v>
      </c>
      <c r="H323" s="7"/>
      <c r="I323" s="7">
        <f t="shared" si="4"/>
        <v>0</v>
      </c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>
        <f t="shared" si="1"/>
        <v>0</v>
      </c>
      <c r="H324" s="7"/>
      <c r="I324" s="7">
        <f t="shared" si="4"/>
        <v>0</v>
      </c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>
        <f t="shared" si="1"/>
        <v>0</v>
      </c>
      <c r="H325" s="7"/>
      <c r="I325" s="7">
        <f t="shared" si="4"/>
        <v>0</v>
      </c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>
        <f t="shared" si="1"/>
        <v>0</v>
      </c>
      <c r="H326" s="7"/>
      <c r="I326" s="7">
        <f t="shared" si="4"/>
        <v>0</v>
      </c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>
        <f t="shared" si="1"/>
        <v>0</v>
      </c>
      <c r="H327" s="7"/>
      <c r="I327" s="7">
        <f t="shared" si="4"/>
        <v>0</v>
      </c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>
        <f t="shared" si="1"/>
        <v>0</v>
      </c>
      <c r="H328" s="7"/>
      <c r="I328" s="7">
        <f t="shared" si="4"/>
        <v>0</v>
      </c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>
        <f t="shared" si="1"/>
        <v>0</v>
      </c>
      <c r="H329" s="7"/>
      <c r="I329" s="7">
        <f t="shared" si="4"/>
        <v>0</v>
      </c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>
        <f t="shared" si="1"/>
        <v>0</v>
      </c>
      <c r="H330" s="7"/>
      <c r="I330" s="7">
        <f t="shared" si="4"/>
        <v>0</v>
      </c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>
        <f t="shared" si="1"/>
        <v>0</v>
      </c>
      <c r="H331" s="7"/>
      <c r="I331" s="7">
        <f t="shared" si="4"/>
        <v>0</v>
      </c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>
        <f t="shared" si="1"/>
        <v>0</v>
      </c>
      <c r="H332" s="7"/>
      <c r="I332" s="7">
        <f t="shared" si="4"/>
        <v>0</v>
      </c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>
        <f t="shared" si="1"/>
        <v>0</v>
      </c>
      <c r="H333" s="7"/>
      <c r="I333" s="7">
        <f t="shared" si="4"/>
        <v>0</v>
      </c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>
        <f t="shared" si="1"/>
        <v>0</v>
      </c>
      <c r="H334" s="7"/>
      <c r="I334" s="7">
        <f t="shared" si="4"/>
        <v>0</v>
      </c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>
        <f t="shared" si="1"/>
        <v>0</v>
      </c>
      <c r="H335" s="7"/>
      <c r="I335" s="7">
        <f t="shared" si="4"/>
        <v>0</v>
      </c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>
        <f t="shared" si="1"/>
        <v>0</v>
      </c>
      <c r="H336" s="7"/>
      <c r="I336" s="7">
        <f t="shared" si="4"/>
        <v>0</v>
      </c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>
        <f t="shared" si="1"/>
        <v>0</v>
      </c>
      <c r="H337" s="7"/>
      <c r="I337" s="7">
        <f t="shared" si="4"/>
        <v>0</v>
      </c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>
        <f t="shared" si="1"/>
        <v>0</v>
      </c>
      <c r="H338" s="7"/>
      <c r="I338" s="7">
        <f t="shared" si="4"/>
        <v>0</v>
      </c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>
        <f t="shared" si="1"/>
        <v>0</v>
      </c>
      <c r="H339" s="7"/>
      <c r="I339" s="7">
        <f t="shared" si="4"/>
        <v>0</v>
      </c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>
        <f t="shared" si="1"/>
        <v>0</v>
      </c>
      <c r="H340" s="7"/>
      <c r="I340" s="7">
        <f t="shared" si="4"/>
        <v>0</v>
      </c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>
        <f t="shared" si="1"/>
        <v>0</v>
      </c>
      <c r="H341" s="7"/>
      <c r="I341" s="7">
        <f t="shared" si="4"/>
        <v>0</v>
      </c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>
        <f t="shared" si="1"/>
        <v>0</v>
      </c>
      <c r="H342" s="7"/>
      <c r="I342" s="7">
        <f t="shared" si="4"/>
        <v>0</v>
      </c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>
        <f t="shared" si="1"/>
        <v>0</v>
      </c>
      <c r="H343" s="7"/>
      <c r="I343" s="7">
        <f t="shared" si="4"/>
        <v>0</v>
      </c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>
        <f t="shared" si="1"/>
        <v>0</v>
      </c>
      <c r="H344" s="7"/>
      <c r="I344" s="7">
        <f t="shared" si="4"/>
        <v>0</v>
      </c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>
        <f t="shared" si="1"/>
        <v>0</v>
      </c>
      <c r="H345" s="7"/>
      <c r="I345" s="7">
        <f t="shared" si="4"/>
        <v>0</v>
      </c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>
        <f t="shared" si="1"/>
        <v>0</v>
      </c>
      <c r="H346" s="7"/>
      <c r="I346" s="7">
        <f t="shared" si="4"/>
        <v>0</v>
      </c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>
        <f t="shared" si="1"/>
        <v>0</v>
      </c>
      <c r="H347" s="7"/>
      <c r="I347" s="7">
        <f t="shared" si="4"/>
        <v>0</v>
      </c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>
        <f t="shared" si="1"/>
        <v>0</v>
      </c>
      <c r="H348" s="7"/>
      <c r="I348" s="7">
        <f t="shared" si="4"/>
        <v>0</v>
      </c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>
        <f t="shared" si="1"/>
        <v>0</v>
      </c>
      <c r="H349" s="7"/>
      <c r="I349" s="7">
        <f t="shared" si="4"/>
        <v>0</v>
      </c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>
        <f t="shared" si="1"/>
        <v>0</v>
      </c>
      <c r="H350" s="7"/>
      <c r="I350" s="7">
        <f t="shared" si="4"/>
        <v>0</v>
      </c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>
        <f t="shared" si="1"/>
        <v>0</v>
      </c>
      <c r="H351" s="7"/>
      <c r="I351" s="7">
        <f t="shared" si="4"/>
        <v>0</v>
      </c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>
        <f t="shared" si="1"/>
        <v>0</v>
      </c>
      <c r="H352" s="7"/>
      <c r="I352" s="7">
        <f t="shared" si="4"/>
        <v>0</v>
      </c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>
        <f t="shared" si="1"/>
        <v>0</v>
      </c>
      <c r="H353" s="7"/>
      <c r="I353" s="7">
        <f t="shared" si="4"/>
        <v>0</v>
      </c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>
        <f t="shared" si="1"/>
        <v>0</v>
      </c>
      <c r="H354" s="7"/>
      <c r="I354" s="7">
        <f t="shared" si="4"/>
        <v>0</v>
      </c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>
        <f t="shared" si="1"/>
        <v>0</v>
      </c>
      <c r="H355" s="7"/>
      <c r="I355" s="7">
        <f t="shared" si="4"/>
        <v>0</v>
      </c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>
        <f t="shared" si="1"/>
        <v>0</v>
      </c>
      <c r="H356" s="7"/>
      <c r="I356" s="7">
        <f t="shared" si="4"/>
        <v>0</v>
      </c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>
        <f t="shared" si="1"/>
        <v>0</v>
      </c>
      <c r="H357" s="7"/>
      <c r="I357" s="7">
        <f t="shared" si="4"/>
        <v>0</v>
      </c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>
        <f t="shared" si="1"/>
        <v>0</v>
      </c>
      <c r="H358" s="7"/>
      <c r="I358" s="7">
        <f t="shared" si="4"/>
        <v>0</v>
      </c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>
        <f t="shared" si="1"/>
        <v>0</v>
      </c>
      <c r="H359" s="7"/>
      <c r="I359" s="7">
        <f t="shared" si="4"/>
        <v>0</v>
      </c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>
        <f t="shared" si="1"/>
        <v>0</v>
      </c>
      <c r="H360" s="7"/>
      <c r="I360" s="7">
        <f t="shared" si="4"/>
        <v>0</v>
      </c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>
        <f t="shared" si="1"/>
        <v>0</v>
      </c>
      <c r="H361" s="7"/>
      <c r="I361" s="7">
        <f t="shared" si="4"/>
        <v>0</v>
      </c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>
        <f t="shared" si="1"/>
        <v>0</v>
      </c>
      <c r="H362" s="7"/>
      <c r="I362" s="7">
        <f t="shared" si="4"/>
        <v>0</v>
      </c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>
        <f t="shared" si="1"/>
        <v>0</v>
      </c>
      <c r="H363" s="7"/>
      <c r="I363" s="7">
        <f t="shared" si="4"/>
        <v>0</v>
      </c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>
        <f t="shared" si="1"/>
        <v>0</v>
      </c>
      <c r="H364" s="7"/>
      <c r="I364" s="7">
        <f t="shared" si="4"/>
        <v>0</v>
      </c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>
        <f t="shared" si="1"/>
        <v>0</v>
      </c>
      <c r="H365" s="7"/>
      <c r="I365" s="7">
        <f t="shared" si="4"/>
        <v>0</v>
      </c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>
        <f t="shared" si="1"/>
        <v>0</v>
      </c>
      <c r="H366" s="7"/>
      <c r="I366" s="7">
        <f t="shared" si="4"/>
        <v>0</v>
      </c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>
        <f t="shared" si="1"/>
        <v>0</v>
      </c>
      <c r="H367" s="7"/>
      <c r="I367" s="7">
        <f t="shared" si="4"/>
        <v>0</v>
      </c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>
        <f t="shared" si="1"/>
        <v>0</v>
      </c>
      <c r="H368" s="7"/>
      <c r="I368" s="7">
        <f t="shared" si="4"/>
        <v>0</v>
      </c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>
        <f t="shared" si="1"/>
        <v>0</v>
      </c>
      <c r="H369" s="7"/>
      <c r="I369" s="7">
        <f t="shared" si="4"/>
        <v>0</v>
      </c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>
        <f t="shared" si="1"/>
        <v>0</v>
      </c>
      <c r="H370" s="7"/>
      <c r="I370" s="7">
        <f t="shared" si="4"/>
        <v>0</v>
      </c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>
        <f t="shared" si="1"/>
        <v>0</v>
      </c>
      <c r="H371" s="7"/>
      <c r="I371" s="7">
        <f t="shared" si="4"/>
        <v>0</v>
      </c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>
        <f t="shared" si="1"/>
        <v>0</v>
      </c>
      <c r="H372" s="7"/>
      <c r="I372" s="7">
        <f t="shared" si="4"/>
        <v>0</v>
      </c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>
        <f t="shared" si="1"/>
        <v>0</v>
      </c>
      <c r="H373" s="7"/>
      <c r="I373" s="7">
        <f t="shared" si="4"/>
        <v>0</v>
      </c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>
        <f t="shared" si="1"/>
        <v>0</v>
      </c>
      <c r="H374" s="7"/>
      <c r="I374" s="7">
        <f t="shared" si="4"/>
        <v>0</v>
      </c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>
        <f t="shared" si="1"/>
        <v>0</v>
      </c>
      <c r="H375" s="7"/>
      <c r="I375" s="7">
        <f t="shared" si="4"/>
        <v>0</v>
      </c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>
        <f t="shared" si="1"/>
        <v>0</v>
      </c>
      <c r="H376" s="7"/>
      <c r="I376" s="7">
        <f t="shared" si="4"/>
        <v>0</v>
      </c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>
        <f t="shared" si="1"/>
        <v>0</v>
      </c>
      <c r="H377" s="7"/>
      <c r="I377" s="7">
        <f t="shared" si="4"/>
        <v>0</v>
      </c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>
        <f t="shared" si="1"/>
        <v>0</v>
      </c>
      <c r="H378" s="7"/>
      <c r="I378" s="7">
        <f t="shared" si="4"/>
        <v>0</v>
      </c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>
        <f t="shared" si="1"/>
        <v>0</v>
      </c>
      <c r="H379" s="7"/>
      <c r="I379" s="7">
        <f t="shared" si="4"/>
        <v>0</v>
      </c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>
        <f t="shared" si="1"/>
        <v>0</v>
      </c>
      <c r="H380" s="7"/>
      <c r="I380" s="7">
        <f t="shared" si="4"/>
        <v>0</v>
      </c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>
        <f t="shared" si="1"/>
        <v>0</v>
      </c>
      <c r="H381" s="7"/>
      <c r="I381" s="7">
        <f t="shared" si="4"/>
        <v>0</v>
      </c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>
        <f t="shared" si="1"/>
        <v>0</v>
      </c>
      <c r="H382" s="7"/>
      <c r="I382" s="7">
        <f t="shared" si="4"/>
        <v>0</v>
      </c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>
        <f t="shared" si="1"/>
        <v>0</v>
      </c>
      <c r="H383" s="7"/>
      <c r="I383" s="7">
        <f t="shared" si="4"/>
        <v>0</v>
      </c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>
        <f t="shared" si="1"/>
        <v>0</v>
      </c>
      <c r="H384" s="7"/>
      <c r="I384" s="7">
        <f t="shared" si="4"/>
        <v>0</v>
      </c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>
        <f t="shared" si="1"/>
        <v>0</v>
      </c>
      <c r="H385" s="7"/>
      <c r="I385" s="7">
        <f t="shared" si="4"/>
        <v>0</v>
      </c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>
        <f t="shared" si="1"/>
        <v>0</v>
      </c>
      <c r="H386" s="7"/>
      <c r="I386" s="7">
        <f t="shared" si="4"/>
        <v>0</v>
      </c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>
        <f t="shared" si="1"/>
        <v>0</v>
      </c>
      <c r="H387" s="7"/>
      <c r="I387" s="7">
        <f t="shared" si="4"/>
        <v>0</v>
      </c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>
        <f t="shared" si="1"/>
        <v>0</v>
      </c>
      <c r="H388" s="7"/>
      <c r="I388" s="7">
        <f t="shared" si="4"/>
        <v>0</v>
      </c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>
        <f t="shared" si="1"/>
        <v>0</v>
      </c>
      <c r="H389" s="7"/>
      <c r="I389" s="7">
        <f t="shared" si="4"/>
        <v>0</v>
      </c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>
        <f t="shared" si="1"/>
        <v>0</v>
      </c>
      <c r="H390" s="7"/>
      <c r="I390" s="7">
        <f t="shared" si="4"/>
        <v>0</v>
      </c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>
        <f t="shared" si="1"/>
        <v>0</v>
      </c>
      <c r="H391" s="7"/>
      <c r="I391" s="7">
        <f t="shared" si="4"/>
        <v>0</v>
      </c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>
        <f t="shared" si="1"/>
        <v>0</v>
      </c>
      <c r="H392" s="7"/>
      <c r="I392" s="7">
        <f t="shared" si="4"/>
        <v>0</v>
      </c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>
        <f t="shared" si="1"/>
        <v>0</v>
      </c>
      <c r="H393" s="7"/>
      <c r="I393" s="7">
        <f t="shared" si="4"/>
        <v>0</v>
      </c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>
        <f t="shared" si="1"/>
        <v>0</v>
      </c>
      <c r="H394" s="7"/>
      <c r="I394" s="7">
        <f t="shared" si="4"/>
        <v>0</v>
      </c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>
        <f t="shared" si="1"/>
        <v>0</v>
      </c>
      <c r="H395" s="7"/>
      <c r="I395" s="7">
        <f t="shared" si="4"/>
        <v>0</v>
      </c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>
        <f t="shared" si="1"/>
        <v>0</v>
      </c>
      <c r="H396" s="7"/>
      <c r="I396" s="7">
        <f t="shared" si="4"/>
        <v>0</v>
      </c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>
        <f t="shared" si="1"/>
        <v>0</v>
      </c>
      <c r="H397" s="7"/>
      <c r="I397" s="7">
        <f t="shared" si="4"/>
        <v>0</v>
      </c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>
        <f t="shared" si="1"/>
        <v>0</v>
      </c>
      <c r="H398" s="7"/>
      <c r="I398" s="7">
        <f t="shared" si="4"/>
        <v>0</v>
      </c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>
        <f t="shared" si="1"/>
        <v>0</v>
      </c>
      <c r="H399" s="7"/>
      <c r="I399" s="7">
        <f t="shared" si="4"/>
        <v>0</v>
      </c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>
        <f t="shared" si="1"/>
        <v>0</v>
      </c>
      <c r="H400" s="7"/>
      <c r="I400" s="7">
        <f t="shared" si="4"/>
        <v>0</v>
      </c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>
        <f t="shared" si="1"/>
        <v>0</v>
      </c>
      <c r="H401" s="7"/>
      <c r="I401" s="7">
        <f t="shared" si="4"/>
        <v>0</v>
      </c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>
        <f t="shared" si="1"/>
        <v>0</v>
      </c>
      <c r="H402" s="7"/>
      <c r="I402" s="7">
        <f t="shared" si="4"/>
        <v>0</v>
      </c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>
        <f t="shared" si="1"/>
        <v>0</v>
      </c>
      <c r="H403" s="7"/>
      <c r="I403" s="7">
        <f t="shared" si="4"/>
        <v>0</v>
      </c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>
        <f t="shared" si="1"/>
        <v>0</v>
      </c>
      <c r="H404" s="7"/>
      <c r="I404" s="7">
        <f t="shared" si="4"/>
        <v>0</v>
      </c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>
        <f t="shared" si="1"/>
        <v>0</v>
      </c>
      <c r="H405" s="7"/>
      <c r="I405" s="7">
        <f t="shared" si="4"/>
        <v>0</v>
      </c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>
        <f t="shared" si="1"/>
        <v>0</v>
      </c>
      <c r="H406" s="7"/>
      <c r="I406" s="7">
        <f t="shared" si="4"/>
        <v>0</v>
      </c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>
        <f t="shared" si="1"/>
        <v>0</v>
      </c>
      <c r="H407" s="7"/>
      <c r="I407" s="7">
        <f t="shared" si="4"/>
        <v>0</v>
      </c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>
        <f t="shared" si="1"/>
        <v>0</v>
      </c>
      <c r="H408" s="7"/>
      <c r="I408" s="7">
        <f t="shared" si="4"/>
        <v>0</v>
      </c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>
        <f t="shared" si="1"/>
        <v>0</v>
      </c>
      <c r="H409" s="7"/>
      <c r="I409" s="7">
        <f t="shared" si="4"/>
        <v>0</v>
      </c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>
        <f t="shared" si="1"/>
        <v>0</v>
      </c>
      <c r="H410" s="7"/>
      <c r="I410" s="7">
        <f t="shared" si="4"/>
        <v>0</v>
      </c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>
        <f t="shared" si="1"/>
        <v>0</v>
      </c>
      <c r="H411" s="7"/>
      <c r="I411" s="7">
        <f t="shared" si="4"/>
        <v>0</v>
      </c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>
        <f t="shared" si="1"/>
        <v>0</v>
      </c>
      <c r="H412" s="7"/>
      <c r="I412" s="7">
        <f t="shared" si="4"/>
        <v>0</v>
      </c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>
        <f t="shared" si="1"/>
        <v>0</v>
      </c>
      <c r="H413" s="7"/>
      <c r="I413" s="7">
        <f t="shared" si="4"/>
        <v>0</v>
      </c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>
        <f t="shared" si="1"/>
        <v>0</v>
      </c>
      <c r="H414" s="7"/>
      <c r="I414" s="7">
        <f t="shared" si="4"/>
        <v>0</v>
      </c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>
        <f t="shared" si="1"/>
        <v>0</v>
      </c>
      <c r="H415" s="7"/>
      <c r="I415" s="7">
        <f t="shared" si="4"/>
        <v>0</v>
      </c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>
        <f t="shared" si="1"/>
        <v>0</v>
      </c>
      <c r="H416" s="7"/>
      <c r="I416" s="7">
        <f t="shared" si="4"/>
        <v>0</v>
      </c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>
        <f t="shared" si="1"/>
        <v>0</v>
      </c>
      <c r="H417" s="7"/>
      <c r="I417" s="7">
        <f t="shared" si="4"/>
        <v>0</v>
      </c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>
        <f t="shared" si="1"/>
        <v>0</v>
      </c>
      <c r="H418" s="7"/>
      <c r="I418" s="7">
        <f t="shared" si="4"/>
        <v>0</v>
      </c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>
        <f t="shared" si="1"/>
        <v>0</v>
      </c>
      <c r="H419" s="7"/>
      <c r="I419" s="7">
        <f t="shared" si="4"/>
        <v>0</v>
      </c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>
        <f t="shared" si="1"/>
        <v>0</v>
      </c>
      <c r="H420" s="7"/>
      <c r="I420" s="7">
        <f t="shared" si="4"/>
        <v>0</v>
      </c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>
        <f t="shared" si="1"/>
        <v>0</v>
      </c>
      <c r="H421" s="7"/>
      <c r="I421" s="7">
        <f t="shared" si="4"/>
        <v>0</v>
      </c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>
        <f t="shared" si="1"/>
        <v>0</v>
      </c>
      <c r="H422" s="7"/>
      <c r="I422" s="7">
        <f t="shared" si="4"/>
        <v>0</v>
      </c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>
        <f t="shared" si="1"/>
        <v>0</v>
      </c>
      <c r="H423" s="7"/>
      <c r="I423" s="7">
        <f t="shared" si="4"/>
        <v>0</v>
      </c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>
        <f t="shared" si="1"/>
        <v>0</v>
      </c>
      <c r="H424" s="7"/>
      <c r="I424" s="7">
        <f t="shared" si="4"/>
        <v>0</v>
      </c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>
        <f t="shared" si="1"/>
        <v>0</v>
      </c>
      <c r="H425" s="7"/>
      <c r="I425" s="7">
        <f t="shared" si="4"/>
        <v>0</v>
      </c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>
        <f t="shared" si="1"/>
        <v>0</v>
      </c>
      <c r="H426" s="7"/>
      <c r="I426" s="7">
        <f t="shared" si="4"/>
        <v>0</v>
      </c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>
        <f t="shared" si="1"/>
        <v>0</v>
      </c>
      <c r="H427" s="7"/>
      <c r="I427" s="7">
        <f t="shared" si="4"/>
        <v>0</v>
      </c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>
        <f t="shared" si="1"/>
        <v>0</v>
      </c>
      <c r="H428" s="7"/>
      <c r="I428" s="7">
        <f t="shared" si="4"/>
        <v>0</v>
      </c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>
        <f t="shared" si="1"/>
        <v>0</v>
      </c>
      <c r="H429" s="7"/>
      <c r="I429" s="7">
        <f t="shared" si="4"/>
        <v>0</v>
      </c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>
        <f t="shared" si="1"/>
        <v>0</v>
      </c>
      <c r="H430" s="7"/>
      <c r="I430" s="7">
        <f t="shared" si="4"/>
        <v>0</v>
      </c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>
        <f t="shared" si="1"/>
        <v>0</v>
      </c>
      <c r="H431" s="7"/>
      <c r="I431" s="7">
        <f t="shared" si="4"/>
        <v>0</v>
      </c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>
        <f t="shared" si="1"/>
        <v>0</v>
      </c>
      <c r="H432" s="7"/>
      <c r="I432" s="7">
        <f t="shared" si="4"/>
        <v>0</v>
      </c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>
        <f t="shared" si="1"/>
        <v>0</v>
      </c>
      <c r="H433" s="7"/>
      <c r="I433" s="7">
        <f t="shared" si="4"/>
        <v>0</v>
      </c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>
        <f t="shared" si="1"/>
        <v>0</v>
      </c>
      <c r="H434" s="7"/>
      <c r="I434" s="7">
        <f t="shared" si="4"/>
        <v>0</v>
      </c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>
        <f t="shared" si="1"/>
        <v>0</v>
      </c>
      <c r="H435" s="7"/>
      <c r="I435" s="7">
        <f t="shared" si="4"/>
        <v>0</v>
      </c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>
        <f t="shared" si="1"/>
        <v>0</v>
      </c>
      <c r="H436" s="7"/>
      <c r="I436" s="7">
        <f t="shared" si="4"/>
        <v>0</v>
      </c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>
        <f t="shared" si="1"/>
        <v>0</v>
      </c>
      <c r="H437" s="7"/>
      <c r="I437" s="7">
        <f t="shared" si="4"/>
        <v>0</v>
      </c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>
        <f t="shared" si="1"/>
        <v>0</v>
      </c>
      <c r="H438" s="7"/>
      <c r="I438" s="7">
        <f t="shared" si="4"/>
        <v>0</v>
      </c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>
        <f t="shared" si="1"/>
        <v>0</v>
      </c>
      <c r="H439" s="7"/>
      <c r="I439" s="7">
        <f t="shared" si="4"/>
        <v>0</v>
      </c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>
        <f t="shared" si="1"/>
        <v>0</v>
      </c>
      <c r="H440" s="7"/>
      <c r="I440" s="7">
        <f t="shared" si="4"/>
        <v>0</v>
      </c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>
        <f t="shared" si="1"/>
        <v>0</v>
      </c>
      <c r="H441" s="7"/>
      <c r="I441" s="7">
        <f t="shared" si="4"/>
        <v>0</v>
      </c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>
        <f t="shared" si="1"/>
        <v>0</v>
      </c>
      <c r="H442" s="7"/>
      <c r="I442" s="7">
        <f t="shared" si="4"/>
        <v>0</v>
      </c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>
        <f t="shared" si="1"/>
        <v>0</v>
      </c>
      <c r="H443" s="7"/>
      <c r="I443" s="7">
        <f t="shared" si="4"/>
        <v>0</v>
      </c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>
        <f t="shared" si="1"/>
        <v>0</v>
      </c>
      <c r="H444" s="7"/>
      <c r="I444" s="7">
        <f t="shared" si="4"/>
        <v>0</v>
      </c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>
        <f t="shared" si="1"/>
        <v>0</v>
      </c>
      <c r="H445" s="7"/>
      <c r="I445" s="7">
        <f t="shared" si="4"/>
        <v>0</v>
      </c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>
        <f t="shared" si="1"/>
        <v>0</v>
      </c>
      <c r="H446" s="7"/>
      <c r="I446" s="7">
        <f t="shared" si="4"/>
        <v>0</v>
      </c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>
        <f t="shared" si="1"/>
        <v>0</v>
      </c>
      <c r="H447" s="7"/>
      <c r="I447" s="7">
        <f t="shared" si="4"/>
        <v>0</v>
      </c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>
        <f t="shared" si="1"/>
        <v>0</v>
      </c>
      <c r="H448" s="7"/>
      <c r="I448" s="7">
        <f t="shared" si="4"/>
        <v>0</v>
      </c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>
        <f t="shared" si="1"/>
        <v>0</v>
      </c>
      <c r="H449" s="7"/>
      <c r="I449" s="7">
        <f t="shared" si="4"/>
        <v>0</v>
      </c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>
        <f t="shared" si="1"/>
        <v>0</v>
      </c>
      <c r="H450" s="7"/>
      <c r="I450" s="7">
        <f t="shared" si="4"/>
        <v>0</v>
      </c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>
        <f t="shared" si="1"/>
        <v>0</v>
      </c>
      <c r="H451" s="7"/>
      <c r="I451" s="7">
        <f t="shared" si="4"/>
        <v>0</v>
      </c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>
        <f t="shared" si="1"/>
        <v>0</v>
      </c>
      <c r="H452" s="7"/>
      <c r="I452" s="7">
        <f t="shared" si="4"/>
        <v>0</v>
      </c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>
        <f t="shared" si="1"/>
        <v>0</v>
      </c>
      <c r="H453" s="7"/>
      <c r="I453" s="7">
        <f t="shared" si="4"/>
        <v>0</v>
      </c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>
        <f t="shared" si="1"/>
        <v>0</v>
      </c>
      <c r="H454" s="7"/>
      <c r="I454" s="7">
        <f t="shared" si="4"/>
        <v>0</v>
      </c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>
        <f t="shared" si="1"/>
        <v>0</v>
      </c>
      <c r="H455" s="7"/>
      <c r="I455" s="7">
        <f t="shared" si="4"/>
        <v>0</v>
      </c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>
        <f t="shared" si="1"/>
        <v>0</v>
      </c>
      <c r="H456" s="7"/>
      <c r="I456" s="7">
        <f t="shared" si="4"/>
        <v>0</v>
      </c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>
        <f t="shared" si="1"/>
        <v>0</v>
      </c>
      <c r="H457" s="7"/>
      <c r="I457" s="7">
        <f t="shared" si="4"/>
        <v>0</v>
      </c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>
        <f t="shared" si="1"/>
        <v>0</v>
      </c>
      <c r="H458" s="7"/>
      <c r="I458" s="7">
        <f t="shared" si="4"/>
        <v>0</v>
      </c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>
        <f t="shared" si="1"/>
        <v>0</v>
      </c>
      <c r="H459" s="7"/>
      <c r="I459" s="7">
        <f t="shared" si="4"/>
        <v>0</v>
      </c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>
        <f t="shared" si="1"/>
        <v>0</v>
      </c>
      <c r="H460" s="7"/>
      <c r="I460" s="7">
        <f t="shared" si="4"/>
        <v>0</v>
      </c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>
        <f t="shared" si="1"/>
        <v>0</v>
      </c>
      <c r="H461" s="7"/>
      <c r="I461" s="7">
        <f t="shared" si="4"/>
        <v>0</v>
      </c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>
        <f t="shared" si="1"/>
        <v>0</v>
      </c>
      <c r="H462" s="7"/>
      <c r="I462" s="7">
        <f t="shared" si="4"/>
        <v>0</v>
      </c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>
        <f t="shared" si="1"/>
        <v>0</v>
      </c>
      <c r="H463" s="7"/>
      <c r="I463" s="7">
        <f t="shared" si="4"/>
        <v>0</v>
      </c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>
        <f t="shared" si="1"/>
        <v>0</v>
      </c>
      <c r="H464" s="7"/>
      <c r="I464" s="7">
        <f t="shared" si="4"/>
        <v>0</v>
      </c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>
        <f t="shared" si="1"/>
        <v>0</v>
      </c>
      <c r="H465" s="7"/>
      <c r="I465" s="7">
        <f t="shared" si="4"/>
        <v>0</v>
      </c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>
        <f t="shared" si="1"/>
        <v>0</v>
      </c>
      <c r="H466" s="7"/>
      <c r="I466" s="7">
        <f t="shared" si="4"/>
        <v>0</v>
      </c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>
        <f t="shared" si="1"/>
        <v>0</v>
      </c>
      <c r="H467" s="7"/>
      <c r="I467" s="7">
        <f t="shared" si="4"/>
        <v>0</v>
      </c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>
        <f t="shared" si="1"/>
        <v>0</v>
      </c>
      <c r="H468" s="7"/>
      <c r="I468" s="7">
        <f t="shared" si="4"/>
        <v>0</v>
      </c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>
        <f t="shared" si="1"/>
        <v>0</v>
      </c>
      <c r="H469" s="7"/>
      <c r="I469" s="7">
        <f t="shared" si="4"/>
        <v>0</v>
      </c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>
        <f t="shared" si="1"/>
        <v>0</v>
      </c>
      <c r="H470" s="7"/>
      <c r="I470" s="7">
        <f t="shared" si="4"/>
        <v>0</v>
      </c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>
        <f t="shared" si="1"/>
        <v>0</v>
      </c>
      <c r="H471" s="7"/>
      <c r="I471" s="7">
        <f t="shared" si="4"/>
        <v>0</v>
      </c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>
        <f t="shared" si="1"/>
        <v>0</v>
      </c>
      <c r="H472" s="7"/>
      <c r="I472" s="7">
        <f t="shared" si="4"/>
        <v>0</v>
      </c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>
        <f t="shared" si="1"/>
        <v>0</v>
      </c>
      <c r="H473" s="7"/>
      <c r="I473" s="7">
        <f t="shared" si="4"/>
        <v>0</v>
      </c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>
        <f t="shared" si="1"/>
        <v>0</v>
      </c>
      <c r="H474" s="7"/>
      <c r="I474" s="7">
        <f t="shared" si="4"/>
        <v>0</v>
      </c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>
        <f t="shared" si="1"/>
        <v>0</v>
      </c>
      <c r="H475" s="7"/>
      <c r="I475" s="7">
        <f t="shared" si="4"/>
        <v>0</v>
      </c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>
        <f t="shared" si="1"/>
        <v>0</v>
      </c>
      <c r="H476" s="7"/>
      <c r="I476" s="7">
        <f t="shared" si="4"/>
        <v>0</v>
      </c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>
        <f t="shared" si="1"/>
        <v>0</v>
      </c>
      <c r="H477" s="7"/>
      <c r="I477" s="7">
        <f t="shared" si="4"/>
        <v>0</v>
      </c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>
        <f t="shared" si="1"/>
        <v>0</v>
      </c>
      <c r="H478" s="7"/>
      <c r="I478" s="7">
        <f t="shared" si="4"/>
        <v>0</v>
      </c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>
        <f t="shared" si="1"/>
        <v>0</v>
      </c>
      <c r="H479" s="7"/>
      <c r="I479" s="7">
        <f t="shared" si="4"/>
        <v>0</v>
      </c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>
        <f t="shared" si="1"/>
        <v>0</v>
      </c>
      <c r="H480" s="7"/>
      <c r="I480" s="7">
        <f t="shared" si="4"/>
        <v>0</v>
      </c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>
        <f t="shared" si="1"/>
        <v>0</v>
      </c>
      <c r="H481" s="7"/>
      <c r="I481" s="7">
        <f t="shared" si="4"/>
        <v>0</v>
      </c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>
        <f t="shared" si="1"/>
        <v>0</v>
      </c>
      <c r="H482" s="7"/>
      <c r="I482" s="7">
        <f t="shared" si="4"/>
        <v>0</v>
      </c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>
        <f t="shared" si="1"/>
        <v>0</v>
      </c>
      <c r="H483" s="7"/>
      <c r="I483" s="7">
        <f t="shared" si="4"/>
        <v>0</v>
      </c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>
        <f t="shared" si="1"/>
        <v>0</v>
      </c>
      <c r="H484" s="7"/>
      <c r="I484" s="7">
        <f t="shared" si="4"/>
        <v>0</v>
      </c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>
        <f t="shared" si="1"/>
        <v>0</v>
      </c>
      <c r="H485" s="7"/>
      <c r="I485" s="7">
        <f t="shared" si="4"/>
        <v>0</v>
      </c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>
        <f t="shared" si="1"/>
        <v>0</v>
      </c>
      <c r="H486" s="7"/>
      <c r="I486" s="7">
        <f t="shared" si="4"/>
        <v>0</v>
      </c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>
        <f t="shared" si="1"/>
        <v>0</v>
      </c>
      <c r="H487" s="7"/>
      <c r="I487" s="7">
        <f t="shared" si="4"/>
        <v>0</v>
      </c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>
        <f t="shared" si="1"/>
        <v>0</v>
      </c>
      <c r="H488" s="7"/>
      <c r="I488" s="7">
        <f t="shared" si="4"/>
        <v>0</v>
      </c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>
        <f t="shared" si="1"/>
        <v>0</v>
      </c>
      <c r="H489" s="7"/>
      <c r="I489" s="7">
        <f t="shared" si="4"/>
        <v>0</v>
      </c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>
        <f t="shared" si="1"/>
        <v>0</v>
      </c>
      <c r="H490" s="7"/>
      <c r="I490" s="7">
        <f t="shared" si="4"/>
        <v>0</v>
      </c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>
        <f t="shared" si="1"/>
        <v>0</v>
      </c>
      <c r="H491" s="7"/>
      <c r="I491" s="7">
        <f t="shared" si="4"/>
        <v>0</v>
      </c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>
        <f t="shared" si="1"/>
        <v>0</v>
      </c>
      <c r="H492" s="7"/>
      <c r="I492" s="7">
        <f t="shared" si="4"/>
        <v>0</v>
      </c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>
        <f t="shared" si="1"/>
        <v>0</v>
      </c>
      <c r="H493" s="7"/>
      <c r="I493" s="7">
        <f t="shared" si="4"/>
        <v>0</v>
      </c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>
        <f t="shared" si="1"/>
        <v>0</v>
      </c>
      <c r="H494" s="7"/>
      <c r="I494" s="7">
        <f t="shared" si="4"/>
        <v>0</v>
      </c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>
        <f t="shared" si="1"/>
        <v>0</v>
      </c>
      <c r="H495" s="7"/>
      <c r="I495" s="7">
        <f t="shared" si="4"/>
        <v>0</v>
      </c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>
        <f t="shared" si="1"/>
        <v>0</v>
      </c>
      <c r="H496" s="7"/>
      <c r="I496" s="7">
        <f t="shared" si="4"/>
        <v>0</v>
      </c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>
        <f t="shared" si="1"/>
        <v>0</v>
      </c>
      <c r="H497" s="7"/>
      <c r="I497" s="7">
        <f t="shared" si="4"/>
        <v>0</v>
      </c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>
        <f t="shared" si="1"/>
        <v>0</v>
      </c>
      <c r="H498" s="7"/>
      <c r="I498" s="7">
        <f t="shared" si="4"/>
        <v>0</v>
      </c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>
        <f t="shared" si="1"/>
        <v>0</v>
      </c>
      <c r="H499" s="7"/>
      <c r="I499" s="7">
        <f t="shared" si="4"/>
        <v>0</v>
      </c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>
        <f t="shared" si="1"/>
        <v>0</v>
      </c>
      <c r="H500" s="7"/>
      <c r="I500" s="7">
        <f t="shared" si="4"/>
        <v>0</v>
      </c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>
        <f t="shared" si="1"/>
        <v>0</v>
      </c>
      <c r="H501" s="7"/>
      <c r="I501" s="7">
        <f t="shared" si="4"/>
        <v>0</v>
      </c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ataValidations>
    <dataValidation type="list" allowBlank="1" sqref="L2:L501">
      <formula1>"Paid,Pending,Overdue"</formula1>
    </dataValidation>
    <dataValidation type="list" allowBlank="1" sqref="B2:B501">
      <formula1>"Raw Material,Finished Good,Packaging,Other"</formula1>
    </dataValidation>
    <dataValidation type="list" allowBlank="1" sqref="K2:K501">
      <formula1>"In Stock,Low Stock,Critical,Out of Stock,Ordered"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63"/>
    <col customWidth="1" min="2" max="2" width="32.5"/>
    <col customWidth="1" min="3" max="3" width="31.0"/>
    <col customWidth="1" min="4" max="4" width="34.5"/>
    <col customWidth="1" min="5" max="5" width="32.5"/>
    <col customWidth="1" min="6" max="6" width="30.75"/>
    <col customWidth="1" min="7" max="7" width="31.38"/>
    <col customWidth="1" min="8" max="8" width="34.25"/>
    <col customWidth="1" min="9" max="9" width="69.5"/>
  </cols>
  <sheetData>
    <row r="1">
      <c r="A1" s="34" t="s">
        <v>118</v>
      </c>
      <c r="B1" s="34" t="s">
        <v>165</v>
      </c>
      <c r="C1" s="34" t="s">
        <v>7</v>
      </c>
      <c r="D1" s="34" t="s">
        <v>166</v>
      </c>
      <c r="E1" s="34" t="s">
        <v>167</v>
      </c>
      <c r="F1" s="34" t="s">
        <v>111</v>
      </c>
      <c r="G1" s="34" t="s">
        <v>168</v>
      </c>
      <c r="H1" s="34" t="s">
        <v>14</v>
      </c>
      <c r="I1" s="34" t="s">
        <v>13</v>
      </c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35">
        <v>46182.0</v>
      </c>
      <c r="B2" s="36" t="s">
        <v>169</v>
      </c>
      <c r="C2" s="36" t="s">
        <v>170</v>
      </c>
      <c r="D2" s="36" t="s">
        <v>171</v>
      </c>
      <c r="E2" s="37"/>
      <c r="F2" s="36">
        <v>25000.0</v>
      </c>
      <c r="G2" s="36" t="s">
        <v>172</v>
      </c>
      <c r="H2" s="36" t="s">
        <v>133</v>
      </c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>
      <c r="A3" s="35">
        <v>46182.0</v>
      </c>
      <c r="B3" s="36" t="s">
        <v>169</v>
      </c>
      <c r="C3" s="36" t="s">
        <v>170</v>
      </c>
      <c r="D3" s="36" t="s">
        <v>173</v>
      </c>
      <c r="E3" s="37"/>
      <c r="F3" s="36">
        <v>5000.0</v>
      </c>
      <c r="G3" s="36" t="s">
        <v>172</v>
      </c>
      <c r="H3" s="36" t="s">
        <v>133</v>
      </c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>
      <c r="A4" s="35">
        <v>46182.0</v>
      </c>
      <c r="B4" s="36" t="s">
        <v>174</v>
      </c>
      <c r="C4" s="36" t="s">
        <v>175</v>
      </c>
      <c r="D4" s="36" t="s">
        <v>176</v>
      </c>
      <c r="E4" s="37"/>
      <c r="F4" s="36">
        <v>6000.0</v>
      </c>
      <c r="G4" s="36" t="s">
        <v>172</v>
      </c>
      <c r="H4" s="36" t="s">
        <v>133</v>
      </c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>
      <c r="A5" s="35">
        <v>46183.0</v>
      </c>
      <c r="B5" s="36" t="s">
        <v>174</v>
      </c>
      <c r="C5" s="36" t="s">
        <v>177</v>
      </c>
      <c r="D5" s="36" t="s">
        <v>178</v>
      </c>
      <c r="E5" s="37"/>
      <c r="F5" s="36">
        <v>45000.0</v>
      </c>
      <c r="G5" s="36" t="s">
        <v>172</v>
      </c>
      <c r="H5" s="36" t="s">
        <v>133</v>
      </c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>
      <c r="A6" s="35">
        <v>46184.0</v>
      </c>
      <c r="B6" s="36" t="s">
        <v>174</v>
      </c>
      <c r="C6" s="36" t="s">
        <v>179</v>
      </c>
      <c r="D6" s="36" t="s">
        <v>180</v>
      </c>
      <c r="E6" s="37"/>
      <c r="F6" s="36">
        <v>55000.0</v>
      </c>
      <c r="G6" s="36" t="s">
        <v>172</v>
      </c>
      <c r="H6" s="36" t="s">
        <v>133</v>
      </c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>
      <c r="A7" s="35">
        <v>46205.0</v>
      </c>
      <c r="B7" s="36" t="s">
        <v>174</v>
      </c>
      <c r="C7" s="36" t="s">
        <v>175</v>
      </c>
      <c r="D7" s="36" t="s">
        <v>176</v>
      </c>
      <c r="E7" s="37"/>
      <c r="F7" s="36">
        <v>37000.0</v>
      </c>
      <c r="G7" s="36" t="s">
        <v>172</v>
      </c>
      <c r="H7" s="36" t="s">
        <v>133</v>
      </c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>
      <c r="A8" s="35">
        <v>46207.0</v>
      </c>
      <c r="B8" s="36" t="s">
        <v>174</v>
      </c>
      <c r="C8" s="36" t="s">
        <v>179</v>
      </c>
      <c r="D8" s="36" t="s">
        <v>180</v>
      </c>
      <c r="E8" s="37"/>
      <c r="F8" s="36">
        <v>45000.0</v>
      </c>
      <c r="G8" s="36" t="s">
        <v>172</v>
      </c>
      <c r="H8" s="36" t="s">
        <v>133</v>
      </c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>
      <c r="A9" s="35">
        <v>46207.0</v>
      </c>
      <c r="B9" s="36" t="s">
        <v>174</v>
      </c>
      <c r="C9" s="36" t="s">
        <v>177</v>
      </c>
      <c r="D9" s="36" t="s">
        <v>176</v>
      </c>
      <c r="E9" s="37"/>
      <c r="F9" s="36">
        <v>8000.0</v>
      </c>
      <c r="G9" s="36" t="s">
        <v>172</v>
      </c>
      <c r="H9" s="36" t="s">
        <v>133</v>
      </c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>
      <c r="A10" s="35">
        <v>46207.0</v>
      </c>
      <c r="B10" s="36" t="s">
        <v>169</v>
      </c>
      <c r="C10" s="36" t="s">
        <v>170</v>
      </c>
      <c r="D10" s="36" t="s">
        <v>171</v>
      </c>
      <c r="E10" s="37"/>
      <c r="F10" s="36">
        <v>25000.0</v>
      </c>
      <c r="G10" s="36" t="s">
        <v>172</v>
      </c>
      <c r="H10" s="36" t="s">
        <v>133</v>
      </c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>
      <c r="A11" s="35">
        <v>46207.0</v>
      </c>
      <c r="B11" s="36" t="s">
        <v>169</v>
      </c>
      <c r="C11" s="36" t="s">
        <v>170</v>
      </c>
      <c r="D11" s="36" t="s">
        <v>173</v>
      </c>
      <c r="E11" s="37"/>
      <c r="F11" s="36">
        <v>5000.0</v>
      </c>
      <c r="G11" s="36" t="s">
        <v>172</v>
      </c>
      <c r="H11" s="36" t="s">
        <v>133</v>
      </c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>
      <c r="A12" s="35">
        <v>46233.0</v>
      </c>
      <c r="B12" s="36" t="s">
        <v>174</v>
      </c>
      <c r="C12" s="36" t="s">
        <v>175</v>
      </c>
      <c r="D12" s="36" t="s">
        <v>176</v>
      </c>
      <c r="E12" s="37"/>
      <c r="F12" s="36">
        <v>90000.0</v>
      </c>
      <c r="G12" s="36" t="s">
        <v>172</v>
      </c>
      <c r="H12" s="36" t="s">
        <v>133</v>
      </c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>
      <c r="A13" s="35">
        <v>46233.0</v>
      </c>
      <c r="B13" s="36" t="s">
        <v>174</v>
      </c>
      <c r="C13" s="36" t="s">
        <v>177</v>
      </c>
      <c r="D13" s="36" t="s">
        <v>176</v>
      </c>
      <c r="E13" s="37"/>
      <c r="F13" s="36">
        <v>21000.0</v>
      </c>
      <c r="G13" s="36" t="s">
        <v>172</v>
      </c>
      <c r="H13" s="36" t="s">
        <v>133</v>
      </c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>
      <c r="A14" s="35">
        <v>46233.0</v>
      </c>
      <c r="B14" s="36" t="s">
        <v>174</v>
      </c>
      <c r="C14" s="36" t="s">
        <v>175</v>
      </c>
      <c r="D14" s="36" t="s">
        <v>176</v>
      </c>
      <c r="E14" s="37"/>
      <c r="F14" s="36">
        <v>20000.0</v>
      </c>
      <c r="G14" s="36" t="s">
        <v>172</v>
      </c>
      <c r="H14" s="36" t="s">
        <v>133</v>
      </c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>
      <c r="A15" s="35">
        <v>46233.0</v>
      </c>
      <c r="B15" s="36" t="s">
        <v>174</v>
      </c>
      <c r="C15" s="36" t="s">
        <v>181</v>
      </c>
      <c r="D15" s="36" t="s">
        <v>182</v>
      </c>
      <c r="E15" s="37"/>
      <c r="F15" s="36">
        <v>25000.0</v>
      </c>
      <c r="G15" s="36" t="s">
        <v>172</v>
      </c>
      <c r="H15" s="36" t="s">
        <v>133</v>
      </c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>
      <c r="A16" s="35">
        <v>46233.0</v>
      </c>
      <c r="B16" s="36" t="s">
        <v>174</v>
      </c>
      <c r="C16" s="36" t="s">
        <v>181</v>
      </c>
      <c r="D16" s="36" t="s">
        <v>183</v>
      </c>
      <c r="E16" s="37"/>
      <c r="F16" s="36">
        <v>6000.0</v>
      </c>
      <c r="G16" s="36" t="s">
        <v>172</v>
      </c>
      <c r="H16" s="36" t="s">
        <v>133</v>
      </c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>
      <c r="A17" s="35">
        <v>46233.0</v>
      </c>
      <c r="B17" s="36" t="s">
        <v>174</v>
      </c>
      <c r="C17" s="36" t="s">
        <v>181</v>
      </c>
      <c r="D17" s="36" t="s">
        <v>184</v>
      </c>
      <c r="E17" s="37"/>
      <c r="F17" s="36">
        <v>14000.0</v>
      </c>
      <c r="G17" s="36" t="s">
        <v>172</v>
      </c>
      <c r="H17" s="36" t="s">
        <v>133</v>
      </c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>
      <c r="A18" s="35">
        <v>46233.0</v>
      </c>
      <c r="B18" s="36" t="s">
        <v>174</v>
      </c>
      <c r="C18" s="36" t="s">
        <v>181</v>
      </c>
      <c r="D18" s="36" t="s">
        <v>185</v>
      </c>
      <c r="E18" s="37"/>
      <c r="F18" s="36">
        <v>6000.0</v>
      </c>
      <c r="G18" s="36" t="s">
        <v>172</v>
      </c>
      <c r="H18" s="36" t="s">
        <v>133</v>
      </c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>
      <c r="A19" s="35">
        <v>46233.0</v>
      </c>
      <c r="B19" s="36" t="s">
        <v>174</v>
      </c>
      <c r="C19" s="36" t="s">
        <v>177</v>
      </c>
      <c r="D19" s="36" t="s">
        <v>180</v>
      </c>
      <c r="E19" s="37"/>
      <c r="F19" s="36">
        <v>27000.0</v>
      </c>
      <c r="G19" s="36" t="s">
        <v>172</v>
      </c>
      <c r="H19" s="36" t="s">
        <v>133</v>
      </c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>
      <c r="A20" s="35">
        <v>46233.0</v>
      </c>
      <c r="B20" s="36" t="s">
        <v>174</v>
      </c>
      <c r="C20" s="36" t="s">
        <v>192</v>
      </c>
      <c r="D20" s="36" t="s">
        <v>194</v>
      </c>
      <c r="E20" s="37"/>
      <c r="F20" s="36">
        <v>257000.0</v>
      </c>
      <c r="G20" s="36" t="s">
        <v>172</v>
      </c>
      <c r="H20" s="36" t="s">
        <v>133</v>
      </c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>
      <c r="A21" s="35">
        <v>46233.0</v>
      </c>
      <c r="B21" s="36" t="s">
        <v>174</v>
      </c>
      <c r="C21" s="36" t="s">
        <v>177</v>
      </c>
      <c r="D21" s="36" t="s">
        <v>195</v>
      </c>
      <c r="E21" s="37"/>
      <c r="F21" s="36">
        <v>40000.0</v>
      </c>
      <c r="G21" s="36" t="s">
        <v>172</v>
      </c>
      <c r="H21" s="36" t="s">
        <v>133</v>
      </c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>
      <c r="A22" s="35">
        <v>46233.0</v>
      </c>
      <c r="B22" s="36" t="s">
        <v>174</v>
      </c>
      <c r="C22" s="36" t="s">
        <v>175</v>
      </c>
      <c r="D22" s="36" t="s">
        <v>176</v>
      </c>
      <c r="E22" s="37"/>
      <c r="F22" s="36">
        <v>25000.0</v>
      </c>
      <c r="G22" s="36" t="s">
        <v>172</v>
      </c>
      <c r="H22" s="36" t="s">
        <v>133</v>
      </c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>
      <c r="A23" s="35">
        <v>46233.0</v>
      </c>
      <c r="B23" s="36" t="s">
        <v>174</v>
      </c>
      <c r="C23" s="36" t="s">
        <v>177</v>
      </c>
      <c r="D23" s="37"/>
      <c r="E23" s="37"/>
      <c r="F23" s="36">
        <v>34000.0</v>
      </c>
      <c r="G23" s="36" t="s">
        <v>172</v>
      </c>
      <c r="H23" s="36" t="s">
        <v>133</v>
      </c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>
      <c r="A24" s="35">
        <v>46233.0</v>
      </c>
      <c r="B24" s="36" t="s">
        <v>174</v>
      </c>
      <c r="C24" s="36" t="s">
        <v>177</v>
      </c>
      <c r="D24" s="36" t="s">
        <v>152</v>
      </c>
      <c r="E24" s="37"/>
      <c r="F24" s="36">
        <v>13000.0</v>
      </c>
      <c r="G24" s="36" t="s">
        <v>172</v>
      </c>
      <c r="H24" s="36" t="s">
        <v>133</v>
      </c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>
      <c r="A25" s="35">
        <v>46235.0</v>
      </c>
      <c r="B25" s="36" t="s">
        <v>174</v>
      </c>
      <c r="C25" s="36" t="s">
        <v>177</v>
      </c>
      <c r="D25" s="36" t="s">
        <v>197</v>
      </c>
      <c r="E25" s="37"/>
      <c r="F25" s="36">
        <v>8000.0</v>
      </c>
      <c r="G25" s="36" t="s">
        <v>172</v>
      </c>
      <c r="H25" s="36" t="s">
        <v>133</v>
      </c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>
      <c r="A26" s="35">
        <v>46235.0</v>
      </c>
      <c r="B26" s="36" t="s">
        <v>174</v>
      </c>
      <c r="C26" s="36" t="s">
        <v>170</v>
      </c>
      <c r="D26" s="36" t="s">
        <v>198</v>
      </c>
      <c r="E26" s="37"/>
      <c r="F26" s="36">
        <v>12000.0</v>
      </c>
      <c r="G26" s="36" t="s">
        <v>172</v>
      </c>
      <c r="H26" s="36" t="s">
        <v>133</v>
      </c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>
      <c r="A27" s="35">
        <v>46235.0</v>
      </c>
      <c r="B27" s="36" t="s">
        <v>199</v>
      </c>
      <c r="C27" s="36" t="s">
        <v>200</v>
      </c>
      <c r="D27" s="36" t="s">
        <v>201</v>
      </c>
      <c r="E27" s="37"/>
      <c r="F27" s="36">
        <v>400000.0</v>
      </c>
      <c r="G27" s="36" t="s">
        <v>172</v>
      </c>
      <c r="H27" s="36" t="s">
        <v>133</v>
      </c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>
      <c r="A28" s="35">
        <v>46235.0</v>
      </c>
      <c r="B28" s="36" t="s">
        <v>174</v>
      </c>
      <c r="C28" s="36" t="s">
        <v>177</v>
      </c>
      <c r="D28" s="36" t="s">
        <v>180</v>
      </c>
      <c r="E28" s="37"/>
      <c r="F28" s="36">
        <v>15000.0</v>
      </c>
      <c r="G28" s="36" t="s">
        <v>172</v>
      </c>
      <c r="H28" s="36" t="s">
        <v>133</v>
      </c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>
      <c r="A29" s="35">
        <v>46235.0</v>
      </c>
      <c r="B29" s="36" t="s">
        <v>174</v>
      </c>
      <c r="C29" s="36" t="s">
        <v>177</v>
      </c>
      <c r="D29" s="36" t="s">
        <v>180</v>
      </c>
      <c r="E29" s="37"/>
      <c r="F29" s="36">
        <v>4000.0</v>
      </c>
      <c r="G29" s="36" t="s">
        <v>172</v>
      </c>
      <c r="H29" s="36" t="s">
        <v>133</v>
      </c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>
      <c r="A30" s="35">
        <v>46235.0</v>
      </c>
      <c r="B30" s="36" t="s">
        <v>174</v>
      </c>
      <c r="C30" s="36" t="s">
        <v>181</v>
      </c>
      <c r="D30" s="36" t="s">
        <v>202</v>
      </c>
      <c r="E30" s="37"/>
      <c r="F30" s="36">
        <v>25000.0</v>
      </c>
      <c r="G30" s="36" t="s">
        <v>172</v>
      </c>
      <c r="H30" s="36" t="s">
        <v>133</v>
      </c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>
      <c r="A31" s="35">
        <v>46237.0</v>
      </c>
      <c r="B31" s="36" t="s">
        <v>174</v>
      </c>
      <c r="C31" s="36" t="s">
        <v>175</v>
      </c>
      <c r="D31" s="36" t="s">
        <v>203</v>
      </c>
      <c r="E31" s="37"/>
      <c r="F31" s="36">
        <v>4000.0</v>
      </c>
      <c r="G31" s="36" t="s">
        <v>172</v>
      </c>
      <c r="H31" s="36" t="s">
        <v>133</v>
      </c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>
      <c r="A32" s="35">
        <v>46237.0</v>
      </c>
      <c r="B32" s="36" t="s">
        <v>174</v>
      </c>
      <c r="C32" s="36" t="s">
        <v>177</v>
      </c>
      <c r="D32" s="36" t="s">
        <v>204</v>
      </c>
      <c r="E32" s="37"/>
      <c r="F32" s="36">
        <v>9000.0</v>
      </c>
      <c r="G32" s="36" t="s">
        <v>172</v>
      </c>
      <c r="H32" s="36" t="s">
        <v>133</v>
      </c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>
      <c r="A33" s="35">
        <v>46237.0</v>
      </c>
      <c r="B33" s="36" t="s">
        <v>174</v>
      </c>
      <c r="C33" s="36" t="s">
        <v>175</v>
      </c>
      <c r="D33" s="36" t="s">
        <v>205</v>
      </c>
      <c r="E33" s="37"/>
      <c r="F33" s="36">
        <v>1000.0</v>
      </c>
      <c r="G33" s="36" t="s">
        <v>172</v>
      </c>
      <c r="H33" s="36" t="s">
        <v>133</v>
      </c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>
      <c r="A34" s="35">
        <v>46240.0</v>
      </c>
      <c r="B34" s="36" t="s">
        <v>174</v>
      </c>
      <c r="C34" s="36" t="s">
        <v>177</v>
      </c>
      <c r="D34" s="36" t="s">
        <v>180</v>
      </c>
      <c r="E34" s="37"/>
      <c r="F34" s="36">
        <v>10000.0</v>
      </c>
      <c r="G34" s="36" t="s">
        <v>172</v>
      </c>
      <c r="H34" s="36" t="s">
        <v>133</v>
      </c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>
      <c r="A35" s="35">
        <v>46240.0</v>
      </c>
      <c r="B35" s="36" t="s">
        <v>174</v>
      </c>
      <c r="C35" s="36" t="s">
        <v>181</v>
      </c>
      <c r="D35" s="36" t="s">
        <v>206</v>
      </c>
      <c r="E35" s="37"/>
      <c r="F35" s="36">
        <v>1000.0</v>
      </c>
      <c r="G35" s="36" t="s">
        <v>172</v>
      </c>
      <c r="H35" s="36" t="s">
        <v>133</v>
      </c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>
      <c r="A36" s="35">
        <v>46240.0</v>
      </c>
      <c r="B36" s="36" t="s">
        <v>174</v>
      </c>
      <c r="C36" s="36" t="s">
        <v>177</v>
      </c>
      <c r="D36" s="36" t="s">
        <v>207</v>
      </c>
      <c r="E36" s="37"/>
      <c r="F36" s="36">
        <v>2000.0</v>
      </c>
      <c r="G36" s="36" t="s">
        <v>172</v>
      </c>
      <c r="H36" s="36" t="s">
        <v>133</v>
      </c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>
      <c r="A37" s="35">
        <v>46241.0</v>
      </c>
      <c r="B37" s="36" t="s">
        <v>174</v>
      </c>
      <c r="C37" s="36" t="s">
        <v>177</v>
      </c>
      <c r="D37" s="36" t="s">
        <v>180</v>
      </c>
      <c r="E37" s="37"/>
      <c r="F37" s="36">
        <v>16000.0</v>
      </c>
      <c r="G37" s="36" t="s">
        <v>172</v>
      </c>
      <c r="H37" s="36" t="s">
        <v>133</v>
      </c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>
      <c r="A38" s="35">
        <v>46241.0</v>
      </c>
      <c r="B38" s="36" t="s">
        <v>174</v>
      </c>
      <c r="C38" s="36" t="s">
        <v>170</v>
      </c>
      <c r="D38" s="36" t="s">
        <v>208</v>
      </c>
      <c r="E38" s="37"/>
      <c r="F38" s="36">
        <v>15000.0</v>
      </c>
      <c r="G38" s="36" t="s">
        <v>172</v>
      </c>
      <c r="H38" s="36" t="s">
        <v>133</v>
      </c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>
      <c r="A39" s="35">
        <v>46243.0</v>
      </c>
      <c r="B39" s="36" t="s">
        <v>174</v>
      </c>
      <c r="C39" s="36" t="s">
        <v>170</v>
      </c>
      <c r="D39" s="36" t="s">
        <v>209</v>
      </c>
      <c r="E39" s="37"/>
      <c r="F39" s="36">
        <v>44000.0</v>
      </c>
      <c r="G39" s="36" t="s">
        <v>172</v>
      </c>
      <c r="H39" s="36" t="s">
        <v>133</v>
      </c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>
      <c r="A40" s="35">
        <v>46243.0</v>
      </c>
      <c r="B40" s="36" t="s">
        <v>174</v>
      </c>
      <c r="C40" s="36" t="s">
        <v>177</v>
      </c>
      <c r="D40" s="36" t="s">
        <v>210</v>
      </c>
      <c r="E40" s="37"/>
      <c r="F40" s="36">
        <v>4000.0</v>
      </c>
      <c r="G40" s="36" t="s">
        <v>172</v>
      </c>
      <c r="H40" s="36" t="s">
        <v>133</v>
      </c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>
      <c r="A41" s="35">
        <v>46243.0</v>
      </c>
      <c r="B41" s="36" t="s">
        <v>174</v>
      </c>
      <c r="C41" s="36" t="s">
        <v>177</v>
      </c>
      <c r="D41" s="36" t="s">
        <v>180</v>
      </c>
      <c r="E41" s="37"/>
      <c r="F41" s="36">
        <v>22000.0</v>
      </c>
      <c r="G41" s="36" t="s">
        <v>172</v>
      </c>
      <c r="H41" s="36" t="s">
        <v>133</v>
      </c>
      <c r="I41" s="36" t="s">
        <v>211</v>
      </c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>
      <c r="A42" s="35">
        <v>46243.0</v>
      </c>
      <c r="B42" s="36" t="s">
        <v>174</v>
      </c>
      <c r="C42" s="36" t="s">
        <v>170</v>
      </c>
      <c r="D42" s="36" t="s">
        <v>198</v>
      </c>
      <c r="E42" s="37"/>
      <c r="F42" s="36">
        <v>8500.0</v>
      </c>
      <c r="G42" s="36" t="s">
        <v>172</v>
      </c>
      <c r="H42" s="36" t="s">
        <v>133</v>
      </c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>
      <c r="A43" s="35">
        <v>46244.0</v>
      </c>
      <c r="B43" s="36" t="s">
        <v>174</v>
      </c>
      <c r="C43" s="36" t="s">
        <v>177</v>
      </c>
      <c r="D43" s="36" t="s">
        <v>180</v>
      </c>
      <c r="E43" s="37"/>
      <c r="F43" s="36">
        <v>4000.0</v>
      </c>
      <c r="G43" s="36" t="s">
        <v>172</v>
      </c>
      <c r="H43" s="36" t="s">
        <v>133</v>
      </c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>
      <c r="A44" s="35">
        <v>46244.0</v>
      </c>
      <c r="B44" s="36" t="s">
        <v>174</v>
      </c>
      <c r="C44" s="36" t="s">
        <v>170</v>
      </c>
      <c r="D44" s="36" t="s">
        <v>198</v>
      </c>
      <c r="E44" s="37"/>
      <c r="F44" s="36">
        <v>6000.0</v>
      </c>
      <c r="G44" s="36" t="s">
        <v>172</v>
      </c>
      <c r="H44" s="36" t="s">
        <v>133</v>
      </c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>
      <c r="A45" s="35">
        <v>46244.0</v>
      </c>
      <c r="B45" s="36" t="s">
        <v>174</v>
      </c>
      <c r="C45" s="36" t="s">
        <v>177</v>
      </c>
      <c r="D45" s="36" t="s">
        <v>210</v>
      </c>
      <c r="E45" s="37"/>
      <c r="F45" s="36">
        <v>20000.0</v>
      </c>
      <c r="G45" s="36" t="s">
        <v>172</v>
      </c>
      <c r="H45" s="36" t="s">
        <v>133</v>
      </c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>
      <c r="A46" s="35">
        <v>46245.0</v>
      </c>
      <c r="B46" s="36" t="s">
        <v>174</v>
      </c>
      <c r="C46" s="36" t="s">
        <v>177</v>
      </c>
      <c r="D46" s="36" t="s">
        <v>180</v>
      </c>
      <c r="E46" s="37"/>
      <c r="F46" s="36">
        <v>10000.0</v>
      </c>
      <c r="G46" s="36" t="s">
        <v>172</v>
      </c>
      <c r="H46" s="36" t="s">
        <v>133</v>
      </c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>
      <c r="A47" s="35">
        <v>46245.0</v>
      </c>
      <c r="B47" s="36" t="s">
        <v>174</v>
      </c>
      <c r="C47" s="36" t="s">
        <v>170</v>
      </c>
      <c r="D47" s="36" t="s">
        <v>212</v>
      </c>
      <c r="E47" s="37"/>
      <c r="F47" s="36">
        <v>10000.0</v>
      </c>
      <c r="G47" s="36" t="s">
        <v>172</v>
      </c>
      <c r="H47" s="36" t="s">
        <v>133</v>
      </c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>
      <c r="A48" s="35">
        <v>46246.0</v>
      </c>
      <c r="B48" s="36" t="s">
        <v>174</v>
      </c>
      <c r="C48" s="36" t="s">
        <v>170</v>
      </c>
      <c r="D48" s="36" t="s">
        <v>213</v>
      </c>
      <c r="E48" s="37"/>
      <c r="F48" s="36">
        <v>12000.0</v>
      </c>
      <c r="G48" s="36" t="s">
        <v>172</v>
      </c>
      <c r="H48" s="36" t="s">
        <v>133</v>
      </c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>
      <c r="A49" s="35">
        <v>46246.0</v>
      </c>
      <c r="B49" s="36" t="s">
        <v>174</v>
      </c>
      <c r="C49" s="36" t="s">
        <v>177</v>
      </c>
      <c r="D49" s="36" t="s">
        <v>180</v>
      </c>
      <c r="E49" s="37"/>
      <c r="F49" s="36">
        <v>20000.0</v>
      </c>
      <c r="G49" s="36" t="s">
        <v>172</v>
      </c>
      <c r="H49" s="36" t="s">
        <v>133</v>
      </c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>
      <c r="A50" s="35">
        <v>46246.0</v>
      </c>
      <c r="B50" s="36" t="s">
        <v>174</v>
      </c>
      <c r="C50" s="36" t="s">
        <v>170</v>
      </c>
      <c r="D50" s="36" t="s">
        <v>214</v>
      </c>
      <c r="E50" s="37"/>
      <c r="F50" s="36">
        <v>10000.0</v>
      </c>
      <c r="G50" s="36" t="s">
        <v>172</v>
      </c>
      <c r="H50" s="36" t="s">
        <v>133</v>
      </c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>
      <c r="A51" s="35">
        <v>46247.0</v>
      </c>
      <c r="B51" s="36" t="s">
        <v>174</v>
      </c>
      <c r="C51" s="36" t="s">
        <v>170</v>
      </c>
      <c r="D51" s="36" t="s">
        <v>215</v>
      </c>
      <c r="E51" s="37"/>
      <c r="F51" s="36">
        <v>6500.0</v>
      </c>
      <c r="G51" s="36" t="s">
        <v>172</v>
      </c>
      <c r="H51" s="36" t="s">
        <v>133</v>
      </c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>
      <c r="A52" s="35">
        <v>46247.0</v>
      </c>
      <c r="B52" s="36" t="s">
        <v>174</v>
      </c>
      <c r="C52" s="36" t="s">
        <v>170</v>
      </c>
      <c r="D52" s="36" t="s">
        <v>216</v>
      </c>
      <c r="E52" s="37"/>
      <c r="F52" s="36">
        <v>40000.0</v>
      </c>
      <c r="G52" s="36" t="s">
        <v>172</v>
      </c>
      <c r="H52" s="36" t="s">
        <v>133</v>
      </c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>
      <c r="A53" s="35">
        <v>46247.0</v>
      </c>
      <c r="B53" s="36" t="s">
        <v>174</v>
      </c>
      <c r="C53" s="36" t="s">
        <v>170</v>
      </c>
      <c r="D53" s="36" t="s">
        <v>217</v>
      </c>
      <c r="E53" s="37"/>
      <c r="F53" s="36">
        <v>50000.0</v>
      </c>
      <c r="G53" s="36" t="s">
        <v>172</v>
      </c>
      <c r="H53" s="36" t="s">
        <v>133</v>
      </c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>
      <c r="A54" s="35">
        <v>46247.0</v>
      </c>
      <c r="B54" s="36" t="s">
        <v>174</v>
      </c>
      <c r="C54" s="36" t="s">
        <v>170</v>
      </c>
      <c r="D54" s="36" t="s">
        <v>218</v>
      </c>
      <c r="E54" s="37"/>
      <c r="F54" s="36">
        <v>10000.0</v>
      </c>
      <c r="G54" s="36" t="s">
        <v>172</v>
      </c>
      <c r="H54" s="36" t="s">
        <v>133</v>
      </c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>
      <c r="A55" s="35">
        <v>46247.0</v>
      </c>
      <c r="B55" s="36" t="s">
        <v>174</v>
      </c>
      <c r="C55" s="36" t="s">
        <v>192</v>
      </c>
      <c r="D55" s="36" t="s">
        <v>219</v>
      </c>
      <c r="E55" s="37"/>
      <c r="F55" s="36">
        <v>156000.0</v>
      </c>
      <c r="G55" s="36" t="s">
        <v>172</v>
      </c>
      <c r="H55" s="36" t="s">
        <v>133</v>
      </c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>
      <c r="A56" s="35">
        <v>46247.0</v>
      </c>
      <c r="B56" s="36" t="s">
        <v>174</v>
      </c>
      <c r="C56" s="36" t="s">
        <v>170</v>
      </c>
      <c r="D56" s="36" t="s">
        <v>220</v>
      </c>
      <c r="E56" s="37"/>
      <c r="F56" s="36">
        <v>60000.0</v>
      </c>
      <c r="G56" s="36" t="s">
        <v>172</v>
      </c>
      <c r="H56" s="36" t="s">
        <v>133</v>
      </c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>
      <c r="A57" s="35">
        <v>46248.0</v>
      </c>
      <c r="B57" s="36" t="s">
        <v>174</v>
      </c>
      <c r="C57" s="36" t="s">
        <v>170</v>
      </c>
      <c r="D57" s="36" t="s">
        <v>198</v>
      </c>
      <c r="E57" s="37"/>
      <c r="F57" s="36">
        <v>5000.0</v>
      </c>
      <c r="G57" s="36" t="s">
        <v>172</v>
      </c>
      <c r="H57" s="36" t="s">
        <v>133</v>
      </c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>
      <c r="A58" s="35">
        <v>46248.0</v>
      </c>
      <c r="B58" s="36" t="s">
        <v>174</v>
      </c>
      <c r="C58" s="36" t="s">
        <v>177</v>
      </c>
      <c r="D58" s="36" t="s">
        <v>180</v>
      </c>
      <c r="E58" s="37"/>
      <c r="F58" s="36">
        <v>4000.0</v>
      </c>
      <c r="G58" s="36" t="s">
        <v>172</v>
      </c>
      <c r="H58" s="36" t="s">
        <v>133</v>
      </c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>
      <c r="A59" s="35">
        <v>46251.0</v>
      </c>
      <c r="B59" s="36" t="s">
        <v>174</v>
      </c>
      <c r="C59" s="36" t="s">
        <v>177</v>
      </c>
      <c r="D59" s="36" t="s">
        <v>142</v>
      </c>
      <c r="E59" s="37"/>
      <c r="F59" s="36">
        <v>33000.0</v>
      </c>
      <c r="G59" s="36" t="s">
        <v>172</v>
      </c>
      <c r="H59" s="36" t="s">
        <v>133</v>
      </c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</sheetData>
  <dataValidations>
    <dataValidation type="list" allowBlank="1" sqref="B2:B501">
      <formula1>"Fixed,Variable,Operating"</formula1>
    </dataValidation>
    <dataValidation type="list" allowBlank="1" sqref="H2:H501">
      <formula1>"Paid,Pending,Overdue,Cancelled"</formula1>
    </dataValidation>
    <dataValidation type="list" allowBlank="1" sqref="G2:G501">
      <formula1>"Cash,Mobile Money,Bank Transfer,Cheque"</formula1>
    </dataValidation>
    <dataValidation type="list" allowBlank="1" sqref="C2:C501">
      <formula1>"Transport &amp; Fuel,Logistics,Maintenance,Utilities,Packaging,Equipment,Marketing,Salaries,Rent,Insurance,Other"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3" width="26.88"/>
    <col customWidth="1" min="4" max="4" width="21.0"/>
    <col customWidth="1" min="5" max="5" width="17.5"/>
    <col customWidth="1" min="6" max="6" width="20.13"/>
    <col customWidth="1" min="7" max="7" width="20.88"/>
    <col customWidth="1" min="8" max="8" width="18.25"/>
    <col customWidth="1" min="9" max="9" width="20.5"/>
    <col customWidth="1" min="10" max="26" width="26.88"/>
  </cols>
  <sheetData>
    <row r="1">
      <c r="A1" s="3" t="s">
        <v>118</v>
      </c>
      <c r="B1" s="3" t="s">
        <v>186</v>
      </c>
      <c r="C1" s="3" t="s">
        <v>13</v>
      </c>
      <c r="D1" s="3" t="s">
        <v>187</v>
      </c>
      <c r="E1" s="3" t="s">
        <v>188</v>
      </c>
      <c r="F1" s="3" t="s">
        <v>189</v>
      </c>
      <c r="G1" s="3" t="s">
        <v>190</v>
      </c>
      <c r="H1" s="3" t="s">
        <v>191</v>
      </c>
      <c r="I1" s="3" t="s">
        <v>193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33">
        <v>46245.0</v>
      </c>
      <c r="B2" s="9" t="s">
        <v>196</v>
      </c>
      <c r="C2" s="7"/>
      <c r="D2" s="7"/>
      <c r="E2" s="7"/>
      <c r="F2" s="7"/>
      <c r="G2" s="7"/>
      <c r="H2" s="9">
        <v>256000.0</v>
      </c>
      <c r="I2" s="7">
        <f t="shared" ref="I2:I501" si="1">SUM(E2,F2,G2,H2)</f>
        <v>256000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33">
        <v>46247.0</v>
      </c>
      <c r="B3" s="9" t="s">
        <v>196</v>
      </c>
      <c r="C3" s="7"/>
      <c r="D3" s="7"/>
      <c r="E3" s="7"/>
      <c r="F3" s="7"/>
      <c r="G3" s="7"/>
      <c r="H3" s="9">
        <v>60000.0</v>
      </c>
      <c r="I3" s="7">
        <f t="shared" si="1"/>
        <v>60000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33">
        <v>46250.0</v>
      </c>
      <c r="B4" s="9" t="s">
        <v>196</v>
      </c>
      <c r="C4" s="7"/>
      <c r="D4" s="7"/>
      <c r="E4" s="7"/>
      <c r="F4" s="9">
        <v>600000.0</v>
      </c>
      <c r="G4" s="7"/>
      <c r="H4" s="7"/>
      <c r="I4" s="7">
        <f t="shared" si="1"/>
        <v>600000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33">
        <v>46250.0</v>
      </c>
      <c r="B5" s="9" t="s">
        <v>196</v>
      </c>
      <c r="C5" s="7"/>
      <c r="D5" s="7"/>
      <c r="E5" s="7"/>
      <c r="F5" s="7"/>
      <c r="G5" s="7"/>
      <c r="H5" s="9">
        <v>50000.0</v>
      </c>
      <c r="I5" s="7">
        <f t="shared" si="1"/>
        <v>50000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/>
      <c r="B6" s="7"/>
      <c r="C6" s="7"/>
      <c r="D6" s="7"/>
      <c r="E6" s="7"/>
      <c r="F6" s="7"/>
      <c r="G6" s="7"/>
      <c r="H6" s="7"/>
      <c r="I6" s="7">
        <f t="shared" si="1"/>
        <v>0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7"/>
      <c r="C7" s="7"/>
      <c r="D7" s="7"/>
      <c r="E7" s="7"/>
      <c r="F7" s="7"/>
      <c r="G7" s="7"/>
      <c r="H7" s="7"/>
      <c r="I7" s="7">
        <f t="shared" si="1"/>
        <v>0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/>
      <c r="E8" s="7"/>
      <c r="F8" s="7"/>
      <c r="G8" s="7"/>
      <c r="H8" s="7"/>
      <c r="I8" s="7">
        <f t="shared" si="1"/>
        <v>0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/>
      <c r="E9" s="7"/>
      <c r="F9" s="7"/>
      <c r="G9" s="7"/>
      <c r="H9" s="7"/>
      <c r="I9" s="7">
        <f t="shared" si="1"/>
        <v>0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/>
      <c r="E10" s="7"/>
      <c r="F10" s="7"/>
      <c r="G10" s="7"/>
      <c r="H10" s="7"/>
      <c r="I10" s="7">
        <f t="shared" si="1"/>
        <v>0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/>
      <c r="E11" s="7"/>
      <c r="F11" s="7"/>
      <c r="G11" s="7"/>
      <c r="H11" s="7"/>
      <c r="I11" s="7">
        <f t="shared" si="1"/>
        <v>0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>
        <f t="shared" si="1"/>
        <v>0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>
        <f t="shared" si="1"/>
        <v>0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>
        <f t="shared" si="1"/>
        <v>0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>
        <f t="shared" si="1"/>
        <v>0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>
        <f t="shared" si="1"/>
        <v>0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>
        <f t="shared" si="1"/>
        <v>0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>
        <f t="shared" si="1"/>
        <v>0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>
        <f t="shared" si="1"/>
        <v>0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>
        <f t="shared" si="1"/>
        <v>0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>
        <f t="shared" si="1"/>
        <v>0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>
        <f t="shared" si="1"/>
        <v>0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>
        <f t="shared" si="1"/>
        <v>0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>
        <f t="shared" si="1"/>
        <v>0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>
        <f t="shared" si="1"/>
        <v>0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>
        <f t="shared" si="1"/>
        <v>0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>
        <f t="shared" si="1"/>
        <v>0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>
        <f t="shared" si="1"/>
        <v>0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>
        <f t="shared" si="1"/>
        <v>0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>
        <f t="shared" si="1"/>
        <v>0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>
        <f t="shared" si="1"/>
        <v>0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>
        <f t="shared" si="1"/>
        <v>0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>
        <f t="shared" si="1"/>
        <v>0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>
        <f t="shared" si="1"/>
        <v>0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>
        <f t="shared" si="1"/>
        <v>0</v>
      </c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>
        <f t="shared" si="1"/>
        <v>0</v>
      </c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>
        <f t="shared" si="1"/>
        <v>0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>
        <f t="shared" si="1"/>
        <v>0</v>
      </c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>
        <f t="shared" si="1"/>
        <v>0</v>
      </c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>
        <f t="shared" si="1"/>
        <v>0</v>
      </c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>
        <f t="shared" si="1"/>
        <v>0</v>
      </c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>
        <f t="shared" si="1"/>
        <v>0</v>
      </c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>
        <f t="shared" si="1"/>
        <v>0</v>
      </c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>
        <f t="shared" si="1"/>
        <v>0</v>
      </c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>
        <f t="shared" si="1"/>
        <v>0</v>
      </c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>
        <f t="shared" si="1"/>
        <v>0</v>
      </c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>
        <f t="shared" si="1"/>
        <v>0</v>
      </c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>
        <f t="shared" si="1"/>
        <v>0</v>
      </c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>
        <f t="shared" si="1"/>
        <v>0</v>
      </c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>
        <f t="shared" si="1"/>
        <v>0</v>
      </c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>
        <f t="shared" si="1"/>
        <v>0</v>
      </c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>
        <f t="shared" si="1"/>
        <v>0</v>
      </c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>
        <f t="shared" si="1"/>
        <v>0</v>
      </c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>
        <f t="shared" si="1"/>
        <v>0</v>
      </c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>
        <f t="shared" si="1"/>
        <v>0</v>
      </c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>
        <f t="shared" si="1"/>
        <v>0</v>
      </c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>
        <f t="shared" si="1"/>
        <v>0</v>
      </c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>
        <f t="shared" si="1"/>
        <v>0</v>
      </c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>
        <f t="shared" si="1"/>
        <v>0</v>
      </c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>
        <f t="shared" si="1"/>
        <v>0</v>
      </c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>
        <f t="shared" si="1"/>
        <v>0</v>
      </c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>
        <f t="shared" si="1"/>
        <v>0</v>
      </c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>
        <f t="shared" si="1"/>
        <v>0</v>
      </c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>
        <f t="shared" si="1"/>
        <v>0</v>
      </c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>
        <f t="shared" si="1"/>
        <v>0</v>
      </c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>
        <f t="shared" si="1"/>
        <v>0</v>
      </c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>
        <f t="shared" si="1"/>
        <v>0</v>
      </c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>
        <f t="shared" si="1"/>
        <v>0</v>
      </c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>
        <f t="shared" si="1"/>
        <v>0</v>
      </c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>
        <f t="shared" si="1"/>
        <v>0</v>
      </c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>
        <f t="shared" si="1"/>
        <v>0</v>
      </c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>
        <f t="shared" si="1"/>
        <v>0</v>
      </c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>
        <f t="shared" si="1"/>
        <v>0</v>
      </c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>
        <f t="shared" si="1"/>
        <v>0</v>
      </c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>
        <f t="shared" si="1"/>
        <v>0</v>
      </c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>
        <f t="shared" si="1"/>
        <v>0</v>
      </c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>
        <f t="shared" si="1"/>
        <v>0</v>
      </c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>
        <f t="shared" si="1"/>
        <v>0</v>
      </c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>
        <f t="shared" si="1"/>
        <v>0</v>
      </c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>
        <f t="shared" si="1"/>
        <v>0</v>
      </c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>
        <f t="shared" si="1"/>
        <v>0</v>
      </c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>
        <f t="shared" si="1"/>
        <v>0</v>
      </c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>
        <f t="shared" si="1"/>
        <v>0</v>
      </c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>
        <f t="shared" si="1"/>
        <v>0</v>
      </c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>
        <f t="shared" si="1"/>
        <v>0</v>
      </c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>
        <f t="shared" si="1"/>
        <v>0</v>
      </c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>
        <f t="shared" si="1"/>
        <v>0</v>
      </c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>
        <f t="shared" si="1"/>
        <v>0</v>
      </c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>
        <f t="shared" si="1"/>
        <v>0</v>
      </c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>
        <f t="shared" si="1"/>
        <v>0</v>
      </c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>
        <f t="shared" si="1"/>
        <v>0</v>
      </c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>
        <f t="shared" si="1"/>
        <v>0</v>
      </c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>
        <f t="shared" si="1"/>
        <v>0</v>
      </c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>
        <f t="shared" si="1"/>
        <v>0</v>
      </c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>
        <f t="shared" si="1"/>
        <v>0</v>
      </c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>
        <f t="shared" si="1"/>
        <v>0</v>
      </c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>
        <f t="shared" si="1"/>
        <v>0</v>
      </c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>
        <f t="shared" si="1"/>
        <v>0</v>
      </c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>
        <f t="shared" si="1"/>
        <v>0</v>
      </c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>
        <f t="shared" si="1"/>
        <v>0</v>
      </c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>
        <f t="shared" si="1"/>
        <v>0</v>
      </c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>
        <f t="shared" si="1"/>
        <v>0</v>
      </c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>
        <f t="shared" si="1"/>
        <v>0</v>
      </c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>
        <f t="shared" si="1"/>
        <v>0</v>
      </c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>
        <f t="shared" si="1"/>
        <v>0</v>
      </c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>
        <f t="shared" si="1"/>
        <v>0</v>
      </c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>
        <f t="shared" si="1"/>
        <v>0</v>
      </c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>
        <f t="shared" si="1"/>
        <v>0</v>
      </c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>
        <f t="shared" si="1"/>
        <v>0</v>
      </c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>
        <f t="shared" si="1"/>
        <v>0</v>
      </c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>
        <f t="shared" si="1"/>
        <v>0</v>
      </c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>
        <f t="shared" si="1"/>
        <v>0</v>
      </c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>
        <f t="shared" si="1"/>
        <v>0</v>
      </c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>
        <f t="shared" si="1"/>
        <v>0</v>
      </c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>
        <f t="shared" si="1"/>
        <v>0</v>
      </c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>
        <f t="shared" si="1"/>
        <v>0</v>
      </c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>
        <f t="shared" si="1"/>
        <v>0</v>
      </c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>
        <f t="shared" si="1"/>
        <v>0</v>
      </c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>
        <f t="shared" si="1"/>
        <v>0</v>
      </c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>
        <f t="shared" si="1"/>
        <v>0</v>
      </c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>
        <f t="shared" si="1"/>
        <v>0</v>
      </c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>
        <f t="shared" si="1"/>
        <v>0</v>
      </c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>
        <f t="shared" si="1"/>
        <v>0</v>
      </c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>
        <f t="shared" si="1"/>
        <v>0</v>
      </c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>
        <f t="shared" si="1"/>
        <v>0</v>
      </c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>
        <f t="shared" si="1"/>
        <v>0</v>
      </c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>
        <f t="shared" si="1"/>
        <v>0</v>
      </c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>
        <f t="shared" si="1"/>
        <v>0</v>
      </c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>
        <f t="shared" si="1"/>
        <v>0</v>
      </c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>
        <f t="shared" si="1"/>
        <v>0</v>
      </c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>
        <f t="shared" si="1"/>
        <v>0</v>
      </c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>
        <f t="shared" si="1"/>
        <v>0</v>
      </c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>
        <f t="shared" si="1"/>
        <v>0</v>
      </c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>
        <f t="shared" si="1"/>
        <v>0</v>
      </c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>
        <f t="shared" si="1"/>
        <v>0</v>
      </c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>
        <f t="shared" si="1"/>
        <v>0</v>
      </c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>
        <f t="shared" si="1"/>
        <v>0</v>
      </c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>
        <f t="shared" si="1"/>
        <v>0</v>
      </c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>
        <f t="shared" si="1"/>
        <v>0</v>
      </c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>
        <f t="shared" si="1"/>
        <v>0</v>
      </c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>
        <f t="shared" si="1"/>
        <v>0</v>
      </c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>
        <f t="shared" si="1"/>
        <v>0</v>
      </c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>
        <f t="shared" si="1"/>
        <v>0</v>
      </c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>
        <f t="shared" si="1"/>
        <v>0</v>
      </c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>
        <f t="shared" si="1"/>
        <v>0</v>
      </c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>
        <f t="shared" si="1"/>
        <v>0</v>
      </c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>
        <f t="shared" si="1"/>
        <v>0</v>
      </c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>
        <f t="shared" si="1"/>
        <v>0</v>
      </c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>
        <f t="shared" si="1"/>
        <v>0</v>
      </c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>
        <f t="shared" si="1"/>
        <v>0</v>
      </c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>
        <f t="shared" si="1"/>
        <v>0</v>
      </c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>
        <f t="shared" si="1"/>
        <v>0</v>
      </c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>
        <f t="shared" si="1"/>
        <v>0</v>
      </c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>
        <f t="shared" si="1"/>
        <v>0</v>
      </c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>
        <f t="shared" si="1"/>
        <v>0</v>
      </c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>
        <f t="shared" si="1"/>
        <v>0</v>
      </c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>
        <f t="shared" si="1"/>
        <v>0</v>
      </c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>
        <f t="shared" si="1"/>
        <v>0</v>
      </c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>
        <f t="shared" si="1"/>
        <v>0</v>
      </c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>
        <f t="shared" si="1"/>
        <v>0</v>
      </c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>
        <f t="shared" si="1"/>
        <v>0</v>
      </c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>
        <f t="shared" si="1"/>
        <v>0</v>
      </c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>
        <f t="shared" si="1"/>
        <v>0</v>
      </c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>
        <f t="shared" si="1"/>
        <v>0</v>
      </c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>
        <f t="shared" si="1"/>
        <v>0</v>
      </c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>
        <f t="shared" si="1"/>
        <v>0</v>
      </c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>
        <f t="shared" si="1"/>
        <v>0</v>
      </c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>
        <f t="shared" si="1"/>
        <v>0</v>
      </c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>
        <f t="shared" si="1"/>
        <v>0</v>
      </c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>
        <f t="shared" si="1"/>
        <v>0</v>
      </c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>
        <f t="shared" si="1"/>
        <v>0</v>
      </c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>
        <f t="shared" si="1"/>
        <v>0</v>
      </c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>
        <f t="shared" si="1"/>
        <v>0</v>
      </c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>
        <f t="shared" si="1"/>
        <v>0</v>
      </c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>
        <f t="shared" si="1"/>
        <v>0</v>
      </c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>
        <f t="shared" si="1"/>
        <v>0</v>
      </c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>
        <f t="shared" si="1"/>
        <v>0</v>
      </c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>
        <f t="shared" si="1"/>
        <v>0</v>
      </c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>
        <f t="shared" si="1"/>
        <v>0</v>
      </c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>
        <f t="shared" si="1"/>
        <v>0</v>
      </c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>
        <f t="shared" si="1"/>
        <v>0</v>
      </c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>
        <f t="shared" si="1"/>
        <v>0</v>
      </c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>
        <f t="shared" si="1"/>
        <v>0</v>
      </c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>
        <f t="shared" si="1"/>
        <v>0</v>
      </c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>
        <f t="shared" si="1"/>
        <v>0</v>
      </c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>
        <f t="shared" si="1"/>
        <v>0</v>
      </c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>
        <f t="shared" si="1"/>
        <v>0</v>
      </c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>
        <f t="shared" si="1"/>
        <v>0</v>
      </c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>
        <f t="shared" si="1"/>
        <v>0</v>
      </c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>
        <f t="shared" si="1"/>
        <v>0</v>
      </c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>
        <f t="shared" si="1"/>
        <v>0</v>
      </c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>
        <f t="shared" si="1"/>
        <v>0</v>
      </c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>
        <f t="shared" si="1"/>
        <v>0</v>
      </c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>
        <f t="shared" si="1"/>
        <v>0</v>
      </c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>
        <f t="shared" si="1"/>
        <v>0</v>
      </c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>
        <f t="shared" si="1"/>
        <v>0</v>
      </c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>
        <f t="shared" si="1"/>
        <v>0</v>
      </c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>
        <f t="shared" si="1"/>
        <v>0</v>
      </c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>
        <f t="shared" si="1"/>
        <v>0</v>
      </c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>
        <f t="shared" si="1"/>
        <v>0</v>
      </c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>
        <f t="shared" si="1"/>
        <v>0</v>
      </c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>
        <f t="shared" si="1"/>
        <v>0</v>
      </c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>
        <f t="shared" si="1"/>
        <v>0</v>
      </c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>
        <f t="shared" si="1"/>
        <v>0</v>
      </c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>
        <f t="shared" si="1"/>
        <v>0</v>
      </c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>
        <f t="shared" si="1"/>
        <v>0</v>
      </c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>
        <f t="shared" si="1"/>
        <v>0</v>
      </c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>
        <f t="shared" si="1"/>
        <v>0</v>
      </c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>
        <f t="shared" si="1"/>
        <v>0</v>
      </c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>
        <f t="shared" si="1"/>
        <v>0</v>
      </c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>
        <f t="shared" si="1"/>
        <v>0</v>
      </c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>
        <f t="shared" si="1"/>
        <v>0</v>
      </c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>
        <f t="shared" si="1"/>
        <v>0</v>
      </c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>
        <f t="shared" si="1"/>
        <v>0</v>
      </c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>
        <f t="shared" si="1"/>
        <v>0</v>
      </c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>
        <f t="shared" si="1"/>
        <v>0</v>
      </c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>
        <f t="shared" si="1"/>
        <v>0</v>
      </c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>
        <f t="shared" si="1"/>
        <v>0</v>
      </c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>
        <f t="shared" si="1"/>
        <v>0</v>
      </c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>
        <f t="shared" si="1"/>
        <v>0</v>
      </c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>
        <f t="shared" si="1"/>
        <v>0</v>
      </c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>
        <f t="shared" si="1"/>
        <v>0</v>
      </c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>
        <f t="shared" si="1"/>
        <v>0</v>
      </c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>
        <f t="shared" si="1"/>
        <v>0</v>
      </c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>
        <f t="shared" si="1"/>
        <v>0</v>
      </c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>
        <f t="shared" si="1"/>
        <v>0</v>
      </c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>
        <f t="shared" si="1"/>
        <v>0</v>
      </c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>
        <f t="shared" si="1"/>
        <v>0</v>
      </c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>
        <f t="shared" si="1"/>
        <v>0</v>
      </c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>
        <f t="shared" si="1"/>
        <v>0</v>
      </c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>
        <f t="shared" si="1"/>
        <v>0</v>
      </c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>
        <f t="shared" si="1"/>
        <v>0</v>
      </c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>
        <f t="shared" si="1"/>
        <v>0</v>
      </c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>
        <f t="shared" si="1"/>
        <v>0</v>
      </c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>
        <f t="shared" si="1"/>
        <v>0</v>
      </c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>
        <f t="shared" si="1"/>
        <v>0</v>
      </c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>
        <f t="shared" si="1"/>
        <v>0</v>
      </c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>
        <f t="shared" si="1"/>
        <v>0</v>
      </c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>
        <f t="shared" si="1"/>
        <v>0</v>
      </c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>
        <f t="shared" si="1"/>
        <v>0</v>
      </c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>
        <f t="shared" si="1"/>
        <v>0</v>
      </c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>
        <f t="shared" si="1"/>
        <v>0</v>
      </c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>
        <f t="shared" si="1"/>
        <v>0</v>
      </c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>
        <f t="shared" si="1"/>
        <v>0</v>
      </c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>
        <f t="shared" si="1"/>
        <v>0</v>
      </c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>
        <f t="shared" si="1"/>
        <v>0</v>
      </c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>
        <f t="shared" si="1"/>
        <v>0</v>
      </c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>
        <f t="shared" si="1"/>
        <v>0</v>
      </c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>
        <f t="shared" si="1"/>
        <v>0</v>
      </c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>
        <f t="shared" si="1"/>
        <v>0</v>
      </c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>
        <f t="shared" si="1"/>
        <v>0</v>
      </c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>
        <f t="shared" si="1"/>
        <v>0</v>
      </c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>
        <f t="shared" si="1"/>
        <v>0</v>
      </c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>
        <f t="shared" si="1"/>
        <v>0</v>
      </c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>
        <f t="shared" si="1"/>
        <v>0</v>
      </c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>
        <f t="shared" si="1"/>
        <v>0</v>
      </c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>
        <f t="shared" si="1"/>
        <v>0</v>
      </c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>
        <f t="shared" si="1"/>
        <v>0</v>
      </c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>
        <f t="shared" si="1"/>
        <v>0</v>
      </c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>
        <f t="shared" si="1"/>
        <v>0</v>
      </c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>
        <f t="shared" si="1"/>
        <v>0</v>
      </c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>
        <f t="shared" si="1"/>
        <v>0</v>
      </c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>
        <f t="shared" si="1"/>
        <v>0</v>
      </c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>
        <f t="shared" si="1"/>
        <v>0</v>
      </c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>
        <f t="shared" si="1"/>
        <v>0</v>
      </c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>
        <f t="shared" si="1"/>
        <v>0</v>
      </c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>
        <f t="shared" si="1"/>
        <v>0</v>
      </c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>
        <f t="shared" si="1"/>
        <v>0</v>
      </c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>
        <f t="shared" si="1"/>
        <v>0</v>
      </c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>
        <f t="shared" si="1"/>
        <v>0</v>
      </c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>
        <f t="shared" si="1"/>
        <v>0</v>
      </c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>
        <f t="shared" si="1"/>
        <v>0</v>
      </c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>
        <f t="shared" si="1"/>
        <v>0</v>
      </c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>
        <f t="shared" si="1"/>
        <v>0</v>
      </c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>
        <f t="shared" si="1"/>
        <v>0</v>
      </c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>
        <f t="shared" si="1"/>
        <v>0</v>
      </c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>
        <f t="shared" si="1"/>
        <v>0</v>
      </c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>
        <f t="shared" si="1"/>
        <v>0</v>
      </c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>
        <f t="shared" si="1"/>
        <v>0</v>
      </c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>
        <f t="shared" si="1"/>
        <v>0</v>
      </c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>
        <f t="shared" si="1"/>
        <v>0</v>
      </c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>
        <f t="shared" si="1"/>
        <v>0</v>
      </c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>
        <f t="shared" si="1"/>
        <v>0</v>
      </c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>
        <f t="shared" si="1"/>
        <v>0</v>
      </c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>
        <f t="shared" si="1"/>
        <v>0</v>
      </c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>
        <f t="shared" si="1"/>
        <v>0</v>
      </c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>
        <f t="shared" si="1"/>
        <v>0</v>
      </c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>
        <f t="shared" si="1"/>
        <v>0</v>
      </c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>
        <f t="shared" si="1"/>
        <v>0</v>
      </c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>
        <f t="shared" si="1"/>
        <v>0</v>
      </c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>
        <f t="shared" si="1"/>
        <v>0</v>
      </c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>
        <f t="shared" si="1"/>
        <v>0</v>
      </c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>
        <f t="shared" si="1"/>
        <v>0</v>
      </c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>
        <f t="shared" si="1"/>
        <v>0</v>
      </c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>
        <f t="shared" si="1"/>
        <v>0</v>
      </c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>
        <f t="shared" si="1"/>
        <v>0</v>
      </c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>
        <f t="shared" si="1"/>
        <v>0</v>
      </c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>
        <f t="shared" si="1"/>
        <v>0</v>
      </c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>
        <f t="shared" si="1"/>
        <v>0</v>
      </c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>
        <f t="shared" si="1"/>
        <v>0</v>
      </c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>
        <f t="shared" si="1"/>
        <v>0</v>
      </c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>
        <f t="shared" si="1"/>
        <v>0</v>
      </c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>
        <f t="shared" si="1"/>
        <v>0</v>
      </c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>
        <f t="shared" si="1"/>
        <v>0</v>
      </c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>
        <f t="shared" si="1"/>
        <v>0</v>
      </c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>
        <f t="shared" si="1"/>
        <v>0</v>
      </c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>
        <f t="shared" si="1"/>
        <v>0</v>
      </c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>
        <f t="shared" si="1"/>
        <v>0</v>
      </c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>
        <f t="shared" si="1"/>
        <v>0</v>
      </c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>
        <f t="shared" si="1"/>
        <v>0</v>
      </c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>
        <f t="shared" si="1"/>
        <v>0</v>
      </c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>
        <f t="shared" si="1"/>
        <v>0</v>
      </c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>
        <f t="shared" si="1"/>
        <v>0</v>
      </c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>
        <f t="shared" si="1"/>
        <v>0</v>
      </c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>
        <f t="shared" si="1"/>
        <v>0</v>
      </c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>
        <f t="shared" si="1"/>
        <v>0</v>
      </c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>
        <f t="shared" si="1"/>
        <v>0</v>
      </c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>
        <f t="shared" si="1"/>
        <v>0</v>
      </c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>
        <f t="shared" si="1"/>
        <v>0</v>
      </c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>
        <f t="shared" si="1"/>
        <v>0</v>
      </c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>
        <f t="shared" si="1"/>
        <v>0</v>
      </c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>
        <f t="shared" si="1"/>
        <v>0</v>
      </c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>
        <f t="shared" si="1"/>
        <v>0</v>
      </c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>
        <f t="shared" si="1"/>
        <v>0</v>
      </c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>
        <f t="shared" si="1"/>
        <v>0</v>
      </c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>
        <f t="shared" si="1"/>
        <v>0</v>
      </c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>
        <f t="shared" si="1"/>
        <v>0</v>
      </c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>
        <f t="shared" si="1"/>
        <v>0</v>
      </c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>
        <f t="shared" si="1"/>
        <v>0</v>
      </c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>
        <f t="shared" si="1"/>
        <v>0</v>
      </c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>
        <f t="shared" si="1"/>
        <v>0</v>
      </c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>
        <f t="shared" si="1"/>
        <v>0</v>
      </c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>
        <f t="shared" si="1"/>
        <v>0</v>
      </c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>
        <f t="shared" si="1"/>
        <v>0</v>
      </c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>
        <f t="shared" si="1"/>
        <v>0</v>
      </c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>
        <f t="shared" si="1"/>
        <v>0</v>
      </c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>
        <f t="shared" si="1"/>
        <v>0</v>
      </c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>
        <f t="shared" si="1"/>
        <v>0</v>
      </c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>
        <f t="shared" si="1"/>
        <v>0</v>
      </c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>
        <f t="shared" si="1"/>
        <v>0</v>
      </c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>
        <f t="shared" si="1"/>
        <v>0</v>
      </c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>
        <f t="shared" si="1"/>
        <v>0</v>
      </c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>
        <f t="shared" si="1"/>
        <v>0</v>
      </c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>
        <f t="shared" si="1"/>
        <v>0</v>
      </c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>
        <f t="shared" si="1"/>
        <v>0</v>
      </c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>
        <f t="shared" si="1"/>
        <v>0</v>
      </c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>
        <f t="shared" si="1"/>
        <v>0</v>
      </c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>
        <f t="shared" si="1"/>
        <v>0</v>
      </c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>
        <f t="shared" si="1"/>
        <v>0</v>
      </c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>
        <f t="shared" si="1"/>
        <v>0</v>
      </c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>
        <f t="shared" si="1"/>
        <v>0</v>
      </c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>
        <f t="shared" si="1"/>
        <v>0</v>
      </c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>
        <f t="shared" si="1"/>
        <v>0</v>
      </c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>
        <f t="shared" si="1"/>
        <v>0</v>
      </c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>
        <f t="shared" si="1"/>
        <v>0</v>
      </c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>
        <f t="shared" si="1"/>
        <v>0</v>
      </c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>
        <f t="shared" si="1"/>
        <v>0</v>
      </c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>
        <f t="shared" si="1"/>
        <v>0</v>
      </c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>
        <f t="shared" si="1"/>
        <v>0</v>
      </c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>
        <f t="shared" si="1"/>
        <v>0</v>
      </c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>
        <f t="shared" si="1"/>
        <v>0</v>
      </c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>
        <f t="shared" si="1"/>
        <v>0</v>
      </c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>
        <f t="shared" si="1"/>
        <v>0</v>
      </c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>
        <f t="shared" si="1"/>
        <v>0</v>
      </c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>
        <f t="shared" si="1"/>
        <v>0</v>
      </c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>
        <f t="shared" si="1"/>
        <v>0</v>
      </c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>
        <f t="shared" si="1"/>
        <v>0</v>
      </c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>
        <f t="shared" si="1"/>
        <v>0</v>
      </c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>
        <f t="shared" si="1"/>
        <v>0</v>
      </c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>
        <f t="shared" si="1"/>
        <v>0</v>
      </c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>
        <f t="shared" si="1"/>
        <v>0</v>
      </c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>
        <f t="shared" si="1"/>
        <v>0</v>
      </c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>
        <f t="shared" si="1"/>
        <v>0</v>
      </c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>
        <f t="shared" si="1"/>
        <v>0</v>
      </c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>
        <f t="shared" si="1"/>
        <v>0</v>
      </c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>
        <f t="shared" si="1"/>
        <v>0</v>
      </c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>
        <f t="shared" si="1"/>
        <v>0</v>
      </c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>
        <f t="shared" si="1"/>
        <v>0</v>
      </c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>
        <f t="shared" si="1"/>
        <v>0</v>
      </c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>
        <f t="shared" si="1"/>
        <v>0</v>
      </c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>
        <f t="shared" si="1"/>
        <v>0</v>
      </c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>
        <f t="shared" si="1"/>
        <v>0</v>
      </c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>
        <f t="shared" si="1"/>
        <v>0</v>
      </c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>
        <f t="shared" si="1"/>
        <v>0</v>
      </c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>
        <f t="shared" si="1"/>
        <v>0</v>
      </c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>
        <f t="shared" si="1"/>
        <v>0</v>
      </c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>
        <f t="shared" si="1"/>
        <v>0</v>
      </c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>
        <f t="shared" si="1"/>
        <v>0</v>
      </c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>
        <f t="shared" si="1"/>
        <v>0</v>
      </c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>
        <f t="shared" si="1"/>
        <v>0</v>
      </c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>
        <f t="shared" si="1"/>
        <v>0</v>
      </c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>
        <f t="shared" si="1"/>
        <v>0</v>
      </c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>
        <f t="shared" si="1"/>
        <v>0</v>
      </c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>
        <f t="shared" si="1"/>
        <v>0</v>
      </c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>
        <f t="shared" si="1"/>
        <v>0</v>
      </c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>
        <f t="shared" si="1"/>
        <v>0</v>
      </c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>
        <f t="shared" si="1"/>
        <v>0</v>
      </c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>
        <f t="shared" si="1"/>
        <v>0</v>
      </c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>
        <f t="shared" si="1"/>
        <v>0</v>
      </c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>
        <f t="shared" si="1"/>
        <v>0</v>
      </c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>
        <f t="shared" si="1"/>
        <v>0</v>
      </c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>
        <f t="shared" si="1"/>
        <v>0</v>
      </c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>
        <f t="shared" si="1"/>
        <v>0</v>
      </c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>
        <f t="shared" si="1"/>
        <v>0</v>
      </c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>
        <f t="shared" si="1"/>
        <v>0</v>
      </c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>
        <f t="shared" si="1"/>
        <v>0</v>
      </c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>
        <f t="shared" si="1"/>
        <v>0</v>
      </c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>
        <f t="shared" si="1"/>
        <v>0</v>
      </c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>
        <f t="shared" si="1"/>
        <v>0</v>
      </c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>
        <f t="shared" si="1"/>
        <v>0</v>
      </c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>
        <f t="shared" si="1"/>
        <v>0</v>
      </c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>
        <f t="shared" si="1"/>
        <v>0</v>
      </c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>
        <f t="shared" si="1"/>
        <v>0</v>
      </c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>
        <f t="shared" si="1"/>
        <v>0</v>
      </c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>
        <f t="shared" si="1"/>
        <v>0</v>
      </c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>
        <f t="shared" si="1"/>
        <v>0</v>
      </c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>
        <f t="shared" si="1"/>
        <v>0</v>
      </c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>
        <f t="shared" si="1"/>
        <v>0</v>
      </c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>
        <f t="shared" si="1"/>
        <v>0</v>
      </c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>
        <f t="shared" si="1"/>
        <v>0</v>
      </c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>
        <f t="shared" si="1"/>
        <v>0</v>
      </c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>
        <f t="shared" si="1"/>
        <v>0</v>
      </c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>
        <f t="shared" si="1"/>
        <v>0</v>
      </c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>
        <f t="shared" si="1"/>
        <v>0</v>
      </c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>
        <f t="shared" si="1"/>
        <v>0</v>
      </c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>
        <f t="shared" si="1"/>
        <v>0</v>
      </c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>
        <f t="shared" si="1"/>
        <v>0</v>
      </c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>
        <f t="shared" si="1"/>
        <v>0</v>
      </c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>
        <f t="shared" si="1"/>
        <v>0</v>
      </c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>
        <f t="shared" si="1"/>
        <v>0</v>
      </c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>
        <f t="shared" si="1"/>
        <v>0</v>
      </c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>
        <f t="shared" si="1"/>
        <v>0</v>
      </c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>
        <f t="shared" si="1"/>
        <v>0</v>
      </c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>
        <f t="shared" si="1"/>
        <v>0</v>
      </c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>
        <f t="shared" si="1"/>
        <v>0</v>
      </c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>
        <f t="shared" si="1"/>
        <v>0</v>
      </c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>
        <f t="shared" si="1"/>
        <v>0</v>
      </c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>
        <f t="shared" si="1"/>
        <v>0</v>
      </c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>
        <f t="shared" si="1"/>
        <v>0</v>
      </c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>
        <f t="shared" si="1"/>
        <v>0</v>
      </c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>
        <f t="shared" si="1"/>
        <v>0</v>
      </c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>
        <f t="shared" si="1"/>
        <v>0</v>
      </c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>
        <f t="shared" si="1"/>
        <v>0</v>
      </c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>
        <f t="shared" si="1"/>
        <v>0</v>
      </c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>
        <f t="shared" si="1"/>
        <v>0</v>
      </c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>
        <f t="shared" si="1"/>
        <v>0</v>
      </c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>
        <f t="shared" si="1"/>
        <v>0</v>
      </c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>
        <f t="shared" si="1"/>
        <v>0</v>
      </c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>
        <f t="shared" si="1"/>
        <v>0</v>
      </c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>
        <f t="shared" si="1"/>
        <v>0</v>
      </c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>
        <f t="shared" si="1"/>
        <v>0</v>
      </c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>
        <f t="shared" si="1"/>
        <v>0</v>
      </c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>
        <f t="shared" si="1"/>
        <v>0</v>
      </c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>
        <f t="shared" si="1"/>
        <v>0</v>
      </c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>
        <f t="shared" si="1"/>
        <v>0</v>
      </c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>
        <f t="shared" si="1"/>
        <v>0</v>
      </c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>
        <f t="shared" si="1"/>
        <v>0</v>
      </c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>
        <f t="shared" si="1"/>
        <v>0</v>
      </c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>
        <f t="shared" si="1"/>
        <v>0</v>
      </c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>
        <f t="shared" si="1"/>
        <v>0</v>
      </c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>
        <f t="shared" si="1"/>
        <v>0</v>
      </c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>
        <f t="shared" si="1"/>
        <v>0</v>
      </c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>
        <f t="shared" si="1"/>
        <v>0</v>
      </c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>
        <f t="shared" si="1"/>
        <v>0</v>
      </c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>
        <f t="shared" si="1"/>
        <v>0</v>
      </c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>
        <f t="shared" si="1"/>
        <v>0</v>
      </c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>
        <f t="shared" si="1"/>
        <v>0</v>
      </c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>
        <f t="shared" si="1"/>
        <v>0</v>
      </c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>
        <f t="shared" si="1"/>
        <v>0</v>
      </c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>
        <f t="shared" si="1"/>
        <v>0</v>
      </c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>
        <f t="shared" si="1"/>
        <v>0</v>
      </c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>
        <f t="shared" si="1"/>
        <v>0</v>
      </c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>
        <f t="shared" si="1"/>
        <v>0</v>
      </c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>
        <f t="shared" si="1"/>
        <v>0</v>
      </c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>
        <f t="shared" si="1"/>
        <v>0</v>
      </c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>
        <f t="shared" si="1"/>
        <v>0</v>
      </c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>
        <f t="shared" si="1"/>
        <v>0</v>
      </c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>
        <f t="shared" si="1"/>
        <v>0</v>
      </c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>
        <f t="shared" si="1"/>
        <v>0</v>
      </c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>
        <f t="shared" si="1"/>
        <v>0</v>
      </c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>
        <f t="shared" si="1"/>
        <v>0</v>
      </c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>
        <f t="shared" si="1"/>
        <v>0</v>
      </c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>
        <f t="shared" si="1"/>
        <v>0</v>
      </c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>
        <f t="shared" si="1"/>
        <v>0</v>
      </c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>
        <f t="shared" si="1"/>
        <v>0</v>
      </c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>
        <f t="shared" si="1"/>
        <v>0</v>
      </c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>
        <f t="shared" si="1"/>
        <v>0</v>
      </c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>
        <f t="shared" si="1"/>
        <v>0</v>
      </c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>
        <f t="shared" si="1"/>
        <v>0</v>
      </c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>
        <f t="shared" si="1"/>
        <v>0</v>
      </c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>
        <f t="shared" si="1"/>
        <v>0</v>
      </c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>
        <f t="shared" si="1"/>
        <v>0</v>
      </c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>
        <f t="shared" si="1"/>
        <v>0</v>
      </c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>
        <f t="shared" si="1"/>
        <v>0</v>
      </c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>
        <f t="shared" si="1"/>
        <v>0</v>
      </c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>
        <f t="shared" si="1"/>
        <v>0</v>
      </c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>
        <f t="shared" si="1"/>
        <v>0</v>
      </c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>
        <f t="shared" si="1"/>
        <v>0</v>
      </c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>
        <f t="shared" si="1"/>
        <v>0</v>
      </c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>
        <f t="shared" si="1"/>
        <v>0</v>
      </c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>
        <f t="shared" si="1"/>
        <v>0</v>
      </c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ataValidations>
    <dataValidation type="list" allowBlank="1" sqref="B2:B501">
      <formula1>"Initial Capital,Additional Investment,Emergency Fund,Equipment Fund,Marketing Fund,Working Capital,Dividend"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5"/>
    <col customWidth="1" min="2" max="2" width="19.38"/>
    <col customWidth="1" min="3" max="3" width="45.0"/>
    <col customWidth="1" min="4" max="4" width="29.25"/>
    <col customWidth="1" min="5" max="5" width="17.63"/>
    <col customWidth="1" min="6" max="6" width="18.38"/>
    <col customWidth="1" min="7" max="7" width="18.75"/>
    <col customWidth="1" min="8" max="8" width="22.13"/>
    <col customWidth="1" min="9" max="9" width="20.5"/>
    <col customWidth="1" min="10" max="10" width="18.75"/>
    <col customWidth="1" min="11" max="12" width="23.13"/>
    <col customWidth="1" min="13" max="13" width="32.63"/>
  </cols>
  <sheetData>
    <row r="1">
      <c r="A1" s="38" t="s">
        <v>118</v>
      </c>
      <c r="B1" s="38" t="s">
        <v>0</v>
      </c>
      <c r="C1" s="38" t="s">
        <v>5</v>
      </c>
      <c r="D1" s="38" t="s">
        <v>7</v>
      </c>
      <c r="E1" s="38" t="s">
        <v>221</v>
      </c>
      <c r="F1" s="38" t="s">
        <v>222</v>
      </c>
      <c r="G1" s="38" t="s">
        <v>223</v>
      </c>
      <c r="H1" s="38" t="s">
        <v>128</v>
      </c>
      <c r="I1" s="38" t="s">
        <v>224</v>
      </c>
      <c r="J1" s="38" t="s">
        <v>225</v>
      </c>
      <c r="K1" s="38" t="s">
        <v>1</v>
      </c>
      <c r="L1" s="38" t="s">
        <v>168</v>
      </c>
      <c r="M1" s="38" t="s">
        <v>13</v>
      </c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>
      <c r="A2" s="35">
        <v>46184.0</v>
      </c>
      <c r="B2" s="36" t="s">
        <v>22</v>
      </c>
      <c r="C2" s="37" t="str">
        <f>IFERROR(VLOOKUP(B2, '📋 PRODUCTS'!A:D, 2, FALSE), "")</f>
        <v>Kavera 40g</v>
      </c>
      <c r="D2" s="37" t="str">
        <f>IFERROR(VLOOKUP(B2, '📋 PRODUCTS'!A:D, 3, FALSE), "")</f>
        <v>Kavera</v>
      </c>
      <c r="E2" s="36">
        <v>126.0</v>
      </c>
      <c r="F2" s="37">
        <f>IFERROR(VLOOKUP(B2, '📋 PRODUCTS'!A:D, 4, FALSE), "")</f>
        <v>1000</v>
      </c>
      <c r="G2" s="37">
        <f t="shared" ref="G2:G501" si="1">E2*F2</f>
        <v>126000</v>
      </c>
      <c r="H2" s="36" t="s">
        <v>133</v>
      </c>
      <c r="I2" s="37"/>
      <c r="J2" s="37"/>
      <c r="K2" s="37"/>
      <c r="L2" s="36" t="s">
        <v>172</v>
      </c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>
      <c r="A3" s="35">
        <v>46184.0</v>
      </c>
      <c r="B3" s="36" t="s">
        <v>24</v>
      </c>
      <c r="C3" s="37" t="str">
        <f>IFERROR(VLOOKUP(B3, '📋 PRODUCTS'!A:D, 2, FALSE), "")</f>
        <v>Baby Tin 18g</v>
      </c>
      <c r="D3" s="37" t="str">
        <f>IFERROR(VLOOKUP(B3, '📋 PRODUCTS'!A:D, 3, FALSE), "")</f>
        <v>Baby Tin</v>
      </c>
      <c r="E3" s="36">
        <v>18.0</v>
      </c>
      <c r="F3" s="37">
        <f>IFERROR(VLOOKUP(B3, '📋 PRODUCTS'!A:D, 4, FALSE), "")</f>
        <v>2000</v>
      </c>
      <c r="G3" s="37">
        <f t="shared" si="1"/>
        <v>36000</v>
      </c>
      <c r="H3" s="36" t="s">
        <v>133</v>
      </c>
      <c r="I3" s="37"/>
      <c r="J3" s="37"/>
      <c r="K3" s="37"/>
      <c r="L3" s="36" t="s">
        <v>172</v>
      </c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>
      <c r="A4" s="35">
        <v>46185.0</v>
      </c>
      <c r="B4" s="36" t="s">
        <v>42</v>
      </c>
      <c r="C4" s="37" t="str">
        <f>IFERROR(VLOOKUP(B4, '📋 PRODUCTS'!A:D, 2, FALSE), "")</f>
        <v>Black Pack 100g</v>
      </c>
      <c r="D4" s="37" t="str">
        <f>IFERROR(VLOOKUP(B4, '📋 PRODUCTS'!A:D, 3, FALSE), "")</f>
        <v>Black Pack Small</v>
      </c>
      <c r="E4" s="36">
        <v>18.0</v>
      </c>
      <c r="F4" s="37">
        <f>IFERROR(VLOOKUP(B4, '📋 PRODUCTS'!A:D, 4, FALSE), "")</f>
        <v>10000</v>
      </c>
      <c r="G4" s="37">
        <f t="shared" si="1"/>
        <v>180000</v>
      </c>
      <c r="H4" s="36" t="s">
        <v>133</v>
      </c>
      <c r="I4" s="37"/>
      <c r="J4" s="37"/>
      <c r="K4" s="37"/>
      <c r="L4" s="36" t="s">
        <v>172</v>
      </c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>
      <c r="A5" s="35">
        <v>46185.0</v>
      </c>
      <c r="B5" s="36" t="s">
        <v>16</v>
      </c>
      <c r="C5" s="37" t="str">
        <f>IFERROR(VLOOKUP(B5, '📋 PRODUCTS'!A:D, 2, FALSE), "")</f>
        <v>Kavera 15g</v>
      </c>
      <c r="D5" s="37" t="str">
        <f>IFERROR(VLOOKUP(B5, '📋 PRODUCTS'!A:D, 3, FALSE), "")</f>
        <v>Kavera</v>
      </c>
      <c r="E5" s="36">
        <v>15.0</v>
      </c>
      <c r="F5" s="37">
        <f>IFERROR(VLOOKUP(B5, '📋 PRODUCTS'!A:D, 4, FALSE), "")</f>
        <v>500</v>
      </c>
      <c r="G5" s="37">
        <f t="shared" si="1"/>
        <v>7500</v>
      </c>
      <c r="H5" s="36" t="s">
        <v>133</v>
      </c>
      <c r="I5" s="37"/>
      <c r="J5" s="37"/>
      <c r="K5" s="37"/>
      <c r="L5" s="36" t="s">
        <v>172</v>
      </c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>
      <c r="A6" s="35">
        <v>46185.0</v>
      </c>
      <c r="B6" s="36" t="s">
        <v>42</v>
      </c>
      <c r="C6" s="37" t="str">
        <f>IFERROR(VLOOKUP(B6, '📋 PRODUCTS'!A:D, 2, FALSE), "")</f>
        <v>Black Pack 100g</v>
      </c>
      <c r="D6" s="37" t="str">
        <f>IFERROR(VLOOKUP(B6, '📋 PRODUCTS'!A:D, 3, FALSE), "")</f>
        <v>Black Pack Small</v>
      </c>
      <c r="E6" s="36">
        <v>6.0</v>
      </c>
      <c r="F6" s="37">
        <f>IFERROR(VLOOKUP(B6, '📋 PRODUCTS'!A:D, 4, FALSE), "")</f>
        <v>10000</v>
      </c>
      <c r="G6" s="37">
        <f t="shared" si="1"/>
        <v>60000</v>
      </c>
      <c r="H6" s="36" t="s">
        <v>133</v>
      </c>
      <c r="I6" s="37"/>
      <c r="J6" s="37"/>
      <c r="K6" s="37"/>
      <c r="L6" s="36" t="s">
        <v>172</v>
      </c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>
      <c r="A7" s="35">
        <v>46205.0</v>
      </c>
      <c r="B7" s="36" t="s">
        <v>20</v>
      </c>
      <c r="C7" s="37" t="str">
        <f>IFERROR(VLOOKUP(B7, '📋 PRODUCTS'!A:D, 2, FALSE), "")</f>
        <v>Kavera 25g</v>
      </c>
      <c r="D7" s="37" t="str">
        <f>IFERROR(VLOOKUP(B7, '📋 PRODUCTS'!A:D, 3, FALSE), "")</f>
        <v>Kavera</v>
      </c>
      <c r="E7" s="36">
        <v>160.0</v>
      </c>
      <c r="F7" s="37">
        <f>IFERROR(VLOOKUP(B7, '📋 PRODUCTS'!A:D, 4, FALSE), "")</f>
        <v>1000</v>
      </c>
      <c r="G7" s="37">
        <f t="shared" si="1"/>
        <v>160000</v>
      </c>
      <c r="H7" s="36" t="s">
        <v>133</v>
      </c>
      <c r="I7" s="37"/>
      <c r="J7" s="37"/>
      <c r="K7" s="37"/>
      <c r="L7" s="36" t="s">
        <v>172</v>
      </c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>
      <c r="A8" s="35">
        <v>46207.0</v>
      </c>
      <c r="B8" s="36" t="s">
        <v>42</v>
      </c>
      <c r="C8" s="37" t="str">
        <f>IFERROR(VLOOKUP(B8, '📋 PRODUCTS'!A:D, 2, FALSE), "")</f>
        <v>Black Pack 100g</v>
      </c>
      <c r="D8" s="37" t="str">
        <f>IFERROR(VLOOKUP(B8, '📋 PRODUCTS'!A:D, 3, FALSE), "")</f>
        <v>Black Pack Small</v>
      </c>
      <c r="E8" s="36">
        <v>1.0</v>
      </c>
      <c r="F8" s="37">
        <f>IFERROR(VLOOKUP(B8, '📋 PRODUCTS'!A:D, 4, FALSE), "")</f>
        <v>10000</v>
      </c>
      <c r="G8" s="37">
        <f t="shared" si="1"/>
        <v>10000</v>
      </c>
      <c r="H8" s="36" t="s">
        <v>133</v>
      </c>
      <c r="I8" s="37"/>
      <c r="J8" s="37"/>
      <c r="K8" s="37"/>
      <c r="L8" s="36" t="s">
        <v>172</v>
      </c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>
      <c r="A9" s="35">
        <v>46207.0</v>
      </c>
      <c r="B9" s="36" t="s">
        <v>24</v>
      </c>
      <c r="C9" s="37" t="str">
        <f>IFERROR(VLOOKUP(B9, '📋 PRODUCTS'!A:D, 2, FALSE), "")</f>
        <v>Baby Tin 18g</v>
      </c>
      <c r="D9" s="37" t="str">
        <f>IFERROR(VLOOKUP(B9, '📋 PRODUCTS'!A:D, 3, FALSE), "")</f>
        <v>Baby Tin</v>
      </c>
      <c r="E9" s="36">
        <v>167.0</v>
      </c>
      <c r="F9" s="37">
        <f>IFERROR(VLOOKUP(B9, '📋 PRODUCTS'!A:D, 4, FALSE), "")</f>
        <v>2000</v>
      </c>
      <c r="G9" s="37">
        <f t="shared" si="1"/>
        <v>334000</v>
      </c>
      <c r="H9" s="36" t="s">
        <v>133</v>
      </c>
      <c r="I9" s="37"/>
      <c r="J9" s="37"/>
      <c r="K9" s="37"/>
      <c r="L9" s="36" t="s">
        <v>172</v>
      </c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>
      <c r="A10" s="35">
        <v>46235.0</v>
      </c>
      <c r="B10" s="36" t="s">
        <v>52</v>
      </c>
      <c r="C10" s="37" t="str">
        <f>IFERROR(VLOOKUP(B10, '📋 PRODUCTS'!A:D, 2, FALSE), "")</f>
        <v>Quail Eggs 18s</v>
      </c>
      <c r="D10" s="37" t="str">
        <f>IFERROR(VLOOKUP(B10, '📋 PRODUCTS'!A:D, 3, FALSE), "")</f>
        <v>Eggs</v>
      </c>
      <c r="E10" s="36">
        <v>8.0</v>
      </c>
      <c r="F10" s="37">
        <f>IFERROR(VLOOKUP(B10, '📋 PRODUCTS'!A:D, 4, FALSE), "")</f>
        <v>8000</v>
      </c>
      <c r="G10" s="37">
        <f t="shared" si="1"/>
        <v>64000</v>
      </c>
      <c r="H10" s="36" t="s">
        <v>226</v>
      </c>
      <c r="I10" s="37"/>
      <c r="J10" s="37"/>
      <c r="K10" s="37"/>
      <c r="L10" s="36" t="s">
        <v>172</v>
      </c>
      <c r="M10" s="36" t="s">
        <v>227</v>
      </c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>
      <c r="A11" s="35">
        <v>46235.0</v>
      </c>
      <c r="B11" s="9" t="s">
        <v>34</v>
      </c>
      <c r="C11" s="37" t="str">
        <f>IFERROR(VLOOKUP(B11, '📋 PRODUCTS'!A:D, 2, FALSE), "")</f>
        <v>Spiced 50g</v>
      </c>
      <c r="D11" s="37" t="str">
        <f>IFERROR(VLOOKUP(B11, '📋 PRODUCTS'!A:D, 3, FALSE), "")</f>
        <v>Spiced</v>
      </c>
      <c r="E11" s="36">
        <v>8.0</v>
      </c>
      <c r="F11" s="37">
        <f>IFERROR(VLOOKUP(B11, '📋 PRODUCTS'!A:D, 4, FALSE), "")</f>
        <v>5000</v>
      </c>
      <c r="G11" s="37">
        <f t="shared" si="1"/>
        <v>40000</v>
      </c>
      <c r="H11" s="36" t="s">
        <v>133</v>
      </c>
      <c r="I11" s="37"/>
      <c r="J11" s="37"/>
      <c r="K11" s="37"/>
      <c r="L11" s="36" t="s">
        <v>172</v>
      </c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>
      <c r="A12" s="35">
        <v>46235.0</v>
      </c>
      <c r="B12" s="36" t="s">
        <v>42</v>
      </c>
      <c r="C12" s="37" t="str">
        <f>IFERROR(VLOOKUP(B12, '📋 PRODUCTS'!A:D, 2, FALSE), "")</f>
        <v>Black Pack 100g</v>
      </c>
      <c r="D12" s="37" t="str">
        <f>IFERROR(VLOOKUP(B12, '📋 PRODUCTS'!A:D, 3, FALSE), "")</f>
        <v>Black Pack Small</v>
      </c>
      <c r="E12" s="36">
        <v>6.0</v>
      </c>
      <c r="F12" s="37">
        <f>IFERROR(VLOOKUP(B12, '📋 PRODUCTS'!A:D, 4, FALSE), "")</f>
        <v>10000</v>
      </c>
      <c r="G12" s="37">
        <f t="shared" si="1"/>
        <v>60000</v>
      </c>
      <c r="H12" s="36" t="s">
        <v>133</v>
      </c>
      <c r="I12" s="37"/>
      <c r="J12" s="37"/>
      <c r="K12" s="37"/>
      <c r="L12" s="36" t="s">
        <v>172</v>
      </c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>
      <c r="A13" s="35">
        <v>46235.0</v>
      </c>
      <c r="B13" s="36" t="s">
        <v>24</v>
      </c>
      <c r="C13" s="37" t="str">
        <f>IFERROR(VLOOKUP(B13, '📋 PRODUCTS'!A:D, 2, FALSE), "")</f>
        <v>Baby Tin 18g</v>
      </c>
      <c r="D13" s="37" t="str">
        <f>IFERROR(VLOOKUP(B13, '📋 PRODUCTS'!A:D, 3, FALSE), "")</f>
        <v>Baby Tin</v>
      </c>
      <c r="E13" s="36">
        <v>5.0</v>
      </c>
      <c r="F13" s="37">
        <f>IFERROR(VLOOKUP(B13, '📋 PRODUCTS'!A:D, 4, FALSE), "")</f>
        <v>2000</v>
      </c>
      <c r="G13" s="37">
        <f t="shared" si="1"/>
        <v>10000</v>
      </c>
      <c r="H13" s="36" t="s">
        <v>133</v>
      </c>
      <c r="I13" s="37"/>
      <c r="J13" s="37"/>
      <c r="K13" s="37"/>
      <c r="L13" s="36" t="s">
        <v>172</v>
      </c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>
      <c r="A14" s="35">
        <v>46240.0</v>
      </c>
      <c r="B14" s="9" t="s">
        <v>34</v>
      </c>
      <c r="C14" s="37" t="str">
        <f>IFERROR(VLOOKUP(B14, '📋 PRODUCTS'!A:D, 2, FALSE), "")</f>
        <v>Spiced 50g</v>
      </c>
      <c r="D14" s="37" t="str">
        <f>IFERROR(VLOOKUP(B14, '📋 PRODUCTS'!A:D, 3, FALSE), "")</f>
        <v>Spiced</v>
      </c>
      <c r="E14" s="36">
        <v>9.0</v>
      </c>
      <c r="F14" s="37">
        <f>IFERROR(VLOOKUP(B14, '📋 PRODUCTS'!A:D, 4, FALSE), "")</f>
        <v>5000</v>
      </c>
      <c r="G14" s="37">
        <f t="shared" si="1"/>
        <v>45000</v>
      </c>
      <c r="H14" s="36" t="s">
        <v>133</v>
      </c>
      <c r="I14" s="37"/>
      <c r="J14" s="37"/>
      <c r="K14" s="37"/>
      <c r="L14" s="36" t="s">
        <v>172</v>
      </c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>
      <c r="A15" s="35">
        <v>46240.0</v>
      </c>
      <c r="B15" s="36" t="s">
        <v>52</v>
      </c>
      <c r="C15" s="37" t="str">
        <f>IFERROR(VLOOKUP(B15, '📋 PRODUCTS'!A:D, 2, FALSE), "")</f>
        <v>Quail Eggs 18s</v>
      </c>
      <c r="D15" s="37" t="str">
        <f>IFERROR(VLOOKUP(B15, '📋 PRODUCTS'!A:D, 3, FALSE), "")</f>
        <v>Eggs</v>
      </c>
      <c r="E15" s="36">
        <v>2.0</v>
      </c>
      <c r="F15" s="37">
        <f>IFERROR(VLOOKUP(B15, '📋 PRODUCTS'!A:D, 4, FALSE), "")</f>
        <v>8000</v>
      </c>
      <c r="G15" s="37">
        <f t="shared" si="1"/>
        <v>16000</v>
      </c>
      <c r="H15" s="36" t="s">
        <v>133</v>
      </c>
      <c r="I15" s="37"/>
      <c r="J15" s="37"/>
      <c r="K15" s="37"/>
      <c r="L15" s="36" t="s">
        <v>172</v>
      </c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>
      <c r="A16" s="35">
        <v>46240.0</v>
      </c>
      <c r="B16" s="36" t="s">
        <v>24</v>
      </c>
      <c r="C16" s="37" t="str">
        <f>IFERROR(VLOOKUP(B16, '📋 PRODUCTS'!A:D, 2, FALSE), "")</f>
        <v>Baby Tin 18g</v>
      </c>
      <c r="D16" s="37" t="str">
        <f>IFERROR(VLOOKUP(B16, '📋 PRODUCTS'!A:D, 3, FALSE), "")</f>
        <v>Baby Tin</v>
      </c>
      <c r="E16" s="36">
        <v>7.0</v>
      </c>
      <c r="F16" s="37">
        <f>IFERROR(VLOOKUP(B16, '📋 PRODUCTS'!A:D, 4, FALSE), "")</f>
        <v>2000</v>
      </c>
      <c r="G16" s="37">
        <f t="shared" si="1"/>
        <v>14000</v>
      </c>
      <c r="H16" s="36" t="s">
        <v>133</v>
      </c>
      <c r="I16" s="37"/>
      <c r="J16" s="37"/>
      <c r="K16" s="37"/>
      <c r="L16" s="36" t="s">
        <v>172</v>
      </c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>
      <c r="A17" s="35">
        <v>46242.0</v>
      </c>
      <c r="B17" s="9" t="s">
        <v>34</v>
      </c>
      <c r="C17" s="37" t="str">
        <f>IFERROR(VLOOKUP(B17, '📋 PRODUCTS'!A:D, 2, FALSE), "")</f>
        <v>Spiced 50g</v>
      </c>
      <c r="D17" s="37" t="str">
        <f>IFERROR(VLOOKUP(B17, '📋 PRODUCTS'!A:D, 3, FALSE), "")</f>
        <v>Spiced</v>
      </c>
      <c r="E17" s="36">
        <v>3.0</v>
      </c>
      <c r="F17" s="37">
        <f>IFERROR(VLOOKUP(B17, '📋 PRODUCTS'!A:D, 4, FALSE), "")</f>
        <v>5000</v>
      </c>
      <c r="G17" s="37">
        <f t="shared" si="1"/>
        <v>15000</v>
      </c>
      <c r="H17" s="36" t="s">
        <v>133</v>
      </c>
      <c r="I17" s="37"/>
      <c r="J17" s="37"/>
      <c r="K17" s="37"/>
      <c r="L17" s="36" t="s">
        <v>172</v>
      </c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>
      <c r="A18" s="35">
        <v>46244.0</v>
      </c>
      <c r="B18" s="9" t="s">
        <v>34</v>
      </c>
      <c r="C18" s="37" t="str">
        <f>IFERROR(VLOOKUP(B18, '📋 PRODUCTS'!A:D, 2, FALSE), "")</f>
        <v>Spiced 50g</v>
      </c>
      <c r="D18" s="37" t="str">
        <f>IFERROR(VLOOKUP(B18, '📋 PRODUCTS'!A:D, 3, FALSE), "")</f>
        <v>Spiced</v>
      </c>
      <c r="E18" s="36">
        <v>4.0</v>
      </c>
      <c r="F18" s="37">
        <f>IFERROR(VLOOKUP(B18, '📋 PRODUCTS'!A:D, 4, FALSE), "")</f>
        <v>5000</v>
      </c>
      <c r="G18" s="37">
        <f t="shared" si="1"/>
        <v>20000</v>
      </c>
      <c r="H18" s="36" t="s">
        <v>133</v>
      </c>
      <c r="I18" s="37"/>
      <c r="J18" s="37"/>
      <c r="K18" s="37"/>
      <c r="L18" s="36" t="s">
        <v>172</v>
      </c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>
      <c r="A19" s="35">
        <v>46244.0</v>
      </c>
      <c r="B19" s="36" t="s">
        <v>24</v>
      </c>
      <c r="C19" s="37" t="str">
        <f>IFERROR(VLOOKUP(B19, '📋 PRODUCTS'!A:D, 2, FALSE), "")</f>
        <v>Baby Tin 18g</v>
      </c>
      <c r="D19" s="37" t="str">
        <f>IFERROR(VLOOKUP(B19, '📋 PRODUCTS'!A:D, 3, FALSE), "")</f>
        <v>Baby Tin</v>
      </c>
      <c r="E19" s="36">
        <v>2.0</v>
      </c>
      <c r="F19" s="37">
        <f>IFERROR(VLOOKUP(B19, '📋 PRODUCTS'!A:D, 4, FALSE), "")</f>
        <v>2000</v>
      </c>
      <c r="G19" s="37">
        <f t="shared" si="1"/>
        <v>4000</v>
      </c>
      <c r="H19" s="36" t="s">
        <v>133</v>
      </c>
      <c r="I19" s="37"/>
      <c r="J19" s="37"/>
      <c r="K19" s="37"/>
      <c r="L19" s="36" t="s">
        <v>172</v>
      </c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>
      <c r="A20" s="35">
        <v>46245.0</v>
      </c>
      <c r="B20" s="36" t="s">
        <v>24</v>
      </c>
      <c r="C20" s="37" t="str">
        <f>IFERROR(VLOOKUP(B20, '📋 PRODUCTS'!A:D, 2, FALSE), "")</f>
        <v>Baby Tin 18g</v>
      </c>
      <c r="D20" s="37" t="str">
        <f>IFERROR(VLOOKUP(B20, '📋 PRODUCTS'!A:D, 3, FALSE), "")</f>
        <v>Baby Tin</v>
      </c>
      <c r="E20" s="36">
        <v>11.0</v>
      </c>
      <c r="F20" s="37">
        <f>IFERROR(VLOOKUP(B20, '📋 PRODUCTS'!A:D, 4, FALSE), "")</f>
        <v>2000</v>
      </c>
      <c r="G20" s="37">
        <f t="shared" si="1"/>
        <v>22000</v>
      </c>
      <c r="H20" s="36" t="s">
        <v>133</v>
      </c>
      <c r="I20" s="37"/>
      <c r="J20" s="37"/>
      <c r="K20" s="37"/>
      <c r="L20" s="36" t="s">
        <v>172</v>
      </c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>
      <c r="A21" s="35">
        <v>46245.0</v>
      </c>
      <c r="B21" s="9" t="s">
        <v>34</v>
      </c>
      <c r="C21" s="37" t="str">
        <f>IFERROR(VLOOKUP(B21, '📋 PRODUCTS'!A:D, 2, FALSE), "")</f>
        <v>Spiced 50g</v>
      </c>
      <c r="D21" s="37" t="str">
        <f>IFERROR(VLOOKUP(B21, '📋 PRODUCTS'!A:D, 3, FALSE), "")</f>
        <v>Spiced</v>
      </c>
      <c r="E21" s="36">
        <v>14.0</v>
      </c>
      <c r="F21" s="37">
        <f>IFERROR(VLOOKUP(B21, '📋 PRODUCTS'!A:D, 4, FALSE), "")</f>
        <v>5000</v>
      </c>
      <c r="G21" s="37">
        <f t="shared" si="1"/>
        <v>70000</v>
      </c>
      <c r="H21" s="36" t="s">
        <v>133</v>
      </c>
      <c r="I21" s="37"/>
      <c r="J21" s="37"/>
      <c r="K21" s="37"/>
      <c r="L21" s="36" t="s">
        <v>172</v>
      </c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>
      <c r="A22" s="35">
        <v>46245.0</v>
      </c>
      <c r="B22" s="9" t="s">
        <v>34</v>
      </c>
      <c r="C22" s="37" t="str">
        <f>IFERROR(VLOOKUP(B22, '📋 PRODUCTS'!A:D, 2, FALSE), "")</f>
        <v>Spiced 50g</v>
      </c>
      <c r="D22" s="37" t="str">
        <f>IFERROR(VLOOKUP(B22, '📋 PRODUCTS'!A:D, 3, FALSE), "")</f>
        <v>Spiced</v>
      </c>
      <c r="E22" s="36">
        <v>1.0</v>
      </c>
      <c r="F22" s="37">
        <f>IFERROR(VLOOKUP(B22, '📋 PRODUCTS'!A:D, 4, FALSE), "")</f>
        <v>5000</v>
      </c>
      <c r="G22" s="37">
        <f t="shared" si="1"/>
        <v>5000</v>
      </c>
      <c r="H22" s="36" t="s">
        <v>133</v>
      </c>
      <c r="I22" s="37"/>
      <c r="J22" s="37"/>
      <c r="K22" s="37"/>
      <c r="L22" s="36" t="s">
        <v>172</v>
      </c>
      <c r="M22" s="36" t="s">
        <v>228</v>
      </c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>
      <c r="A23" s="35">
        <v>46245.0</v>
      </c>
      <c r="B23" s="9" t="s">
        <v>34</v>
      </c>
      <c r="C23" s="37" t="str">
        <f>IFERROR(VLOOKUP(B23, '📋 PRODUCTS'!A:D, 2, FALSE), "")</f>
        <v>Spiced 50g</v>
      </c>
      <c r="D23" s="37" t="str">
        <f>IFERROR(VLOOKUP(B23, '📋 PRODUCTS'!A:D, 3, FALSE), "")</f>
        <v>Spiced</v>
      </c>
      <c r="E23" s="36">
        <v>1.0</v>
      </c>
      <c r="F23" s="37">
        <f>IFERROR(VLOOKUP(B23, '📋 PRODUCTS'!A:D, 4, FALSE), "")</f>
        <v>5000</v>
      </c>
      <c r="G23" s="37">
        <f t="shared" si="1"/>
        <v>5000</v>
      </c>
      <c r="H23" s="36" t="s">
        <v>133</v>
      </c>
      <c r="I23" s="37"/>
      <c r="J23" s="37"/>
      <c r="K23" s="37"/>
      <c r="L23" s="36" t="s">
        <v>172</v>
      </c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>
      <c r="A24" s="35">
        <v>46245.0</v>
      </c>
      <c r="B24" s="9" t="s">
        <v>63</v>
      </c>
      <c r="C24" s="37" t="str">
        <f>IFERROR(VLOOKUP(B24, '📋 PRODUCTS'!A:D, 2, FALSE), "")</f>
        <v>Medium Roast Medium Grind (250g)</v>
      </c>
      <c r="D24" s="37" t="str">
        <f>IFERROR(VLOOKUP(B24, '📋 PRODUCTS'!A:D, 3, FALSE), "")</f>
        <v>Black Pack Medium</v>
      </c>
      <c r="E24" s="36">
        <v>1.0</v>
      </c>
      <c r="F24" s="37">
        <f>IFERROR(VLOOKUP(B24, '📋 PRODUCTS'!A:D, 4, FALSE), "")</f>
        <v>25000</v>
      </c>
      <c r="G24" s="37">
        <f t="shared" si="1"/>
        <v>25000</v>
      </c>
      <c r="H24" s="36" t="s">
        <v>229</v>
      </c>
      <c r="I24" s="37"/>
      <c r="J24" s="37"/>
      <c r="K24" s="37"/>
      <c r="L24" s="36" t="s">
        <v>230</v>
      </c>
      <c r="M24" s="36" t="s">
        <v>231</v>
      </c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>
      <c r="A25" s="35">
        <v>46245.0</v>
      </c>
      <c r="B25" s="9" t="s">
        <v>67</v>
      </c>
      <c r="C25" s="37" t="str">
        <f>IFERROR(VLOOKUP(B25, '📋 PRODUCTS'!A:D, 2, FALSE), "")</f>
        <v>Dark Roast Fine Grind (250g)</v>
      </c>
      <c r="D25" s="37" t="str">
        <f>IFERROR(VLOOKUP(B25, '📋 PRODUCTS'!A:D, 3, FALSE), "")</f>
        <v>Black Pack Medium</v>
      </c>
      <c r="E25" s="36">
        <v>1.0</v>
      </c>
      <c r="F25" s="37">
        <f>IFERROR(VLOOKUP(B25, '📋 PRODUCTS'!A:D, 4, FALSE), "")</f>
        <v>25000</v>
      </c>
      <c r="G25" s="37">
        <f t="shared" si="1"/>
        <v>25000</v>
      </c>
      <c r="H25" s="36" t="s">
        <v>229</v>
      </c>
      <c r="I25" s="37"/>
      <c r="J25" s="37"/>
      <c r="K25" s="37"/>
      <c r="L25" s="36" t="s">
        <v>172</v>
      </c>
      <c r="M25" s="36" t="s">
        <v>195</v>
      </c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>
      <c r="A26" s="35">
        <v>46245.0</v>
      </c>
      <c r="B26" s="9" t="s">
        <v>71</v>
      </c>
      <c r="C26" s="37" t="str">
        <f>IFERROR(VLOOKUP(B26, '📋 PRODUCTS'!A:D, 2, FALSE), "")</f>
        <v>Dark Roast Medium Grind (250g)</v>
      </c>
      <c r="D26" s="37" t="str">
        <f>IFERROR(VLOOKUP(B26, '📋 PRODUCTS'!A:D, 3, FALSE), "")</f>
        <v>Black Pack Medium</v>
      </c>
      <c r="E26" s="36">
        <v>1.0</v>
      </c>
      <c r="F26" s="37">
        <f>IFERROR(VLOOKUP(B26, '📋 PRODUCTS'!A:D, 4, FALSE), "")</f>
        <v>25000</v>
      </c>
      <c r="G26" s="37">
        <f t="shared" si="1"/>
        <v>25000</v>
      </c>
      <c r="H26" s="36" t="s">
        <v>229</v>
      </c>
      <c r="I26" s="37"/>
      <c r="J26" s="37"/>
      <c r="K26" s="37"/>
      <c r="L26" s="36" t="s">
        <v>230</v>
      </c>
      <c r="M26" s="36" t="s">
        <v>231</v>
      </c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>
      <c r="A27" s="35">
        <v>46246.0</v>
      </c>
      <c r="B27" s="9" t="s">
        <v>34</v>
      </c>
      <c r="C27" s="37" t="str">
        <f>IFERROR(VLOOKUP(B27, '📋 PRODUCTS'!A:D, 2, FALSE), "")</f>
        <v>Spiced 50g</v>
      </c>
      <c r="D27" s="37" t="str">
        <f>IFERROR(VLOOKUP(B27, '📋 PRODUCTS'!A:D, 3, FALSE), "")</f>
        <v>Spiced</v>
      </c>
      <c r="E27" s="36">
        <v>15.0</v>
      </c>
      <c r="F27" s="37">
        <f>IFERROR(VLOOKUP(B27, '📋 PRODUCTS'!A:D, 4, FALSE), "")</f>
        <v>5000</v>
      </c>
      <c r="G27" s="37">
        <f t="shared" si="1"/>
        <v>75000</v>
      </c>
      <c r="H27" s="36" t="s">
        <v>133</v>
      </c>
      <c r="I27" s="37"/>
      <c r="J27" s="37"/>
      <c r="K27" s="37"/>
      <c r="L27" s="36" t="s">
        <v>172</v>
      </c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>
      <c r="A28" s="35">
        <v>46246.0</v>
      </c>
      <c r="B28" s="36" t="s">
        <v>24</v>
      </c>
      <c r="C28" s="37" t="str">
        <f>IFERROR(VLOOKUP(B28, '📋 PRODUCTS'!A:D, 2, FALSE), "")</f>
        <v>Baby Tin 18g</v>
      </c>
      <c r="D28" s="37" t="str">
        <f>IFERROR(VLOOKUP(B28, '📋 PRODUCTS'!A:D, 3, FALSE), "")</f>
        <v>Baby Tin</v>
      </c>
      <c r="E28" s="36">
        <v>23.0</v>
      </c>
      <c r="F28" s="37">
        <f>IFERROR(VLOOKUP(B28, '📋 PRODUCTS'!A:D, 4, FALSE), "")</f>
        <v>2000</v>
      </c>
      <c r="G28" s="37">
        <f t="shared" si="1"/>
        <v>46000</v>
      </c>
      <c r="H28" s="36" t="s">
        <v>133</v>
      </c>
      <c r="I28" s="37"/>
      <c r="J28" s="37"/>
      <c r="K28" s="37"/>
      <c r="L28" s="36" t="s">
        <v>172</v>
      </c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>
      <c r="A29" s="35">
        <v>46247.0</v>
      </c>
      <c r="B29" s="36" t="s">
        <v>24</v>
      </c>
      <c r="C29" s="37" t="str">
        <f>IFERROR(VLOOKUP(B29, '📋 PRODUCTS'!A:D, 2, FALSE), "")</f>
        <v>Baby Tin 18g</v>
      </c>
      <c r="D29" s="37" t="str">
        <f>IFERROR(VLOOKUP(B29, '📋 PRODUCTS'!A:D, 3, FALSE), "")</f>
        <v>Baby Tin</v>
      </c>
      <c r="E29" s="36">
        <v>8.0</v>
      </c>
      <c r="F29" s="37">
        <f>IFERROR(VLOOKUP(B29, '📋 PRODUCTS'!A:D, 4, FALSE), "")</f>
        <v>2000</v>
      </c>
      <c r="G29" s="37">
        <f t="shared" si="1"/>
        <v>16000</v>
      </c>
      <c r="H29" s="36" t="s">
        <v>133</v>
      </c>
      <c r="I29" s="37"/>
      <c r="J29" s="37"/>
      <c r="K29" s="37"/>
      <c r="L29" s="36" t="s">
        <v>172</v>
      </c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>
      <c r="A30" s="35">
        <v>46247.0</v>
      </c>
      <c r="B30" s="9" t="s">
        <v>34</v>
      </c>
      <c r="C30" s="37" t="str">
        <f>IFERROR(VLOOKUP(B30, '📋 PRODUCTS'!A:D, 2, FALSE), "")</f>
        <v>Spiced 50g</v>
      </c>
      <c r="D30" s="37" t="str">
        <f>IFERROR(VLOOKUP(B30, '📋 PRODUCTS'!A:D, 3, FALSE), "")</f>
        <v>Spiced</v>
      </c>
      <c r="E30" s="36">
        <v>2.0</v>
      </c>
      <c r="F30" s="37">
        <f>IFERROR(VLOOKUP(B30, '📋 PRODUCTS'!A:D, 4, FALSE), "")</f>
        <v>5000</v>
      </c>
      <c r="G30" s="37">
        <f t="shared" si="1"/>
        <v>10000</v>
      </c>
      <c r="H30" s="36" t="s">
        <v>133</v>
      </c>
      <c r="I30" s="37"/>
      <c r="J30" s="37"/>
      <c r="K30" s="37"/>
      <c r="L30" s="36" t="s">
        <v>172</v>
      </c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>
      <c r="A31" s="35">
        <v>46247.0</v>
      </c>
      <c r="B31" s="9" t="s">
        <v>34</v>
      </c>
      <c r="C31" s="37" t="str">
        <f>IFERROR(VLOOKUP(B31, '📋 PRODUCTS'!A:D, 2, FALSE), "")</f>
        <v>Spiced 50g</v>
      </c>
      <c r="D31" s="37" t="str">
        <f>IFERROR(VLOOKUP(B31, '📋 PRODUCTS'!A:D, 3, FALSE), "")</f>
        <v>Spiced</v>
      </c>
      <c r="E31" s="36">
        <v>1.0</v>
      </c>
      <c r="F31" s="37">
        <f>IFERROR(VLOOKUP(B31, '📋 PRODUCTS'!A:D, 4, FALSE), "")</f>
        <v>5000</v>
      </c>
      <c r="G31" s="37">
        <f t="shared" si="1"/>
        <v>5000</v>
      </c>
      <c r="H31" s="36" t="s">
        <v>133</v>
      </c>
      <c r="I31" s="37"/>
      <c r="J31" s="37"/>
      <c r="K31" s="37"/>
      <c r="L31" s="36" t="s">
        <v>172</v>
      </c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>
      <c r="A32" s="35">
        <v>46248.0</v>
      </c>
      <c r="B32" s="9" t="s">
        <v>34</v>
      </c>
      <c r="C32" s="37" t="str">
        <f>IFERROR(VLOOKUP(B32, '📋 PRODUCTS'!A:D, 2, FALSE), "")</f>
        <v>Spiced 50g</v>
      </c>
      <c r="D32" s="37" t="str">
        <f>IFERROR(VLOOKUP(B32, '📋 PRODUCTS'!A:D, 3, FALSE), "")</f>
        <v>Spiced</v>
      </c>
      <c r="E32" s="36">
        <v>11.0</v>
      </c>
      <c r="F32" s="37">
        <f>IFERROR(VLOOKUP(B32, '📋 PRODUCTS'!A:D, 4, FALSE), "")</f>
        <v>5000</v>
      </c>
      <c r="G32" s="37">
        <f t="shared" si="1"/>
        <v>55000</v>
      </c>
      <c r="H32" s="36" t="s">
        <v>133</v>
      </c>
      <c r="I32" s="37"/>
      <c r="J32" s="37"/>
      <c r="K32" s="37"/>
      <c r="L32" s="36" t="s">
        <v>172</v>
      </c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>
      <c r="A33" s="35">
        <v>46248.0</v>
      </c>
      <c r="B33" s="36" t="s">
        <v>24</v>
      </c>
      <c r="C33" s="37" t="str">
        <f>IFERROR(VLOOKUP(B33, '📋 PRODUCTS'!A:D, 2, FALSE), "")</f>
        <v>Baby Tin 18g</v>
      </c>
      <c r="D33" s="37" t="str">
        <f>IFERROR(VLOOKUP(B33, '📋 PRODUCTS'!A:D, 3, FALSE), "")</f>
        <v>Baby Tin</v>
      </c>
      <c r="E33" s="36">
        <v>5.0</v>
      </c>
      <c r="F33" s="37">
        <f>IFERROR(VLOOKUP(B33, '📋 PRODUCTS'!A:D, 4, FALSE), "")</f>
        <v>2000</v>
      </c>
      <c r="G33" s="37">
        <f t="shared" si="1"/>
        <v>10000</v>
      </c>
      <c r="H33" s="36" t="s">
        <v>133</v>
      </c>
      <c r="I33" s="37"/>
      <c r="J33" s="37"/>
      <c r="K33" s="37"/>
      <c r="L33" s="36" t="s">
        <v>172</v>
      </c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>
      <c r="A34" s="35">
        <v>46250.0</v>
      </c>
      <c r="B34" s="9" t="s">
        <v>42</v>
      </c>
      <c r="C34" s="37" t="str">
        <f>IFERROR(VLOOKUP(B34, '📋 PRODUCTS'!A:D, 2, FALSE), "")</f>
        <v>Black Pack 100g</v>
      </c>
      <c r="D34" s="37" t="str">
        <f>IFERROR(VLOOKUP(B34, '📋 PRODUCTS'!A:D, 3, FALSE), "")</f>
        <v>Black Pack Small</v>
      </c>
      <c r="E34" s="36">
        <v>2.0</v>
      </c>
      <c r="F34" s="37">
        <f>IFERROR(VLOOKUP(B34, '📋 PRODUCTS'!A:D, 4, FALSE), "")</f>
        <v>10000</v>
      </c>
      <c r="G34" s="37">
        <f t="shared" si="1"/>
        <v>20000</v>
      </c>
      <c r="H34" s="36" t="s">
        <v>133</v>
      </c>
      <c r="I34" s="37"/>
      <c r="J34" s="37"/>
      <c r="K34" s="37"/>
      <c r="L34" s="36" t="s">
        <v>172</v>
      </c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>
      <c r="A35" s="35">
        <v>46250.0</v>
      </c>
      <c r="B35" s="9" t="s">
        <v>34</v>
      </c>
      <c r="C35" s="37" t="str">
        <f>IFERROR(VLOOKUP(B35, '📋 PRODUCTS'!A:D, 2, FALSE), "")</f>
        <v>Spiced 50g</v>
      </c>
      <c r="D35" s="37" t="str">
        <f>IFERROR(VLOOKUP(B35, '📋 PRODUCTS'!A:D, 3, FALSE), "")</f>
        <v>Spiced</v>
      </c>
      <c r="E35" s="36">
        <v>1.0</v>
      </c>
      <c r="F35" s="37">
        <f>IFERROR(VLOOKUP(B35, '📋 PRODUCTS'!A:D, 4, FALSE), "")</f>
        <v>5000</v>
      </c>
      <c r="G35" s="37">
        <f t="shared" si="1"/>
        <v>5000</v>
      </c>
      <c r="H35" s="36" t="s">
        <v>133</v>
      </c>
      <c r="I35" s="37"/>
      <c r="J35" s="37"/>
      <c r="K35" s="37"/>
      <c r="L35" s="36" t="s">
        <v>172</v>
      </c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>
      <c r="A36" s="35">
        <v>46250.0</v>
      </c>
      <c r="B36" s="9" t="s">
        <v>45</v>
      </c>
      <c r="C36" s="37" t="str">
        <f>IFERROR(VLOOKUP(B36, '📋 PRODUCTS'!A:D, 2, FALSE), "")</f>
        <v>MiDAY Combo</v>
      </c>
      <c r="D36" s="37" t="str">
        <f>IFERROR(VLOOKUP(B36, '📋 PRODUCTS'!A:D, 3, FALSE), "")</f>
        <v>Combo</v>
      </c>
      <c r="E36" s="36">
        <v>1.0</v>
      </c>
      <c r="F36" s="37">
        <f>IFERROR(VLOOKUP(B36, '📋 PRODUCTS'!A:D, 4, FALSE), "")</f>
        <v>12000</v>
      </c>
      <c r="G36" s="37">
        <f t="shared" si="1"/>
        <v>12000</v>
      </c>
      <c r="H36" s="36" t="s">
        <v>133</v>
      </c>
      <c r="I36" s="37"/>
      <c r="J36" s="37"/>
      <c r="K36" s="37"/>
      <c r="L36" s="36" t="s">
        <v>172</v>
      </c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>
      <c r="A37" s="35">
        <v>46255.0</v>
      </c>
      <c r="B37" s="9" t="s">
        <v>34</v>
      </c>
      <c r="C37" s="37" t="str">
        <f>IFERROR(VLOOKUP(B37, '📋 PRODUCTS'!A:D, 2, FALSE), "")</f>
        <v>Spiced 50g</v>
      </c>
      <c r="D37" s="37" t="str">
        <f>IFERROR(VLOOKUP(B37, '📋 PRODUCTS'!A:D, 3, FALSE), "")</f>
        <v>Spiced</v>
      </c>
      <c r="E37" s="36">
        <v>2.0</v>
      </c>
      <c r="F37" s="37">
        <f>IFERROR(VLOOKUP(B37, '📋 PRODUCTS'!A:D, 4, FALSE), "")</f>
        <v>5000</v>
      </c>
      <c r="G37" s="37">
        <f t="shared" si="1"/>
        <v>10000</v>
      </c>
      <c r="H37" s="36" t="s">
        <v>133</v>
      </c>
      <c r="I37" s="37"/>
      <c r="J37" s="37"/>
      <c r="K37" s="37"/>
      <c r="L37" s="36" t="s">
        <v>172</v>
      </c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>
      <c r="A38" s="35">
        <v>46255.0</v>
      </c>
      <c r="B38" s="36" t="s">
        <v>24</v>
      </c>
      <c r="C38" s="37" t="str">
        <f>IFERROR(VLOOKUP(B38, '📋 PRODUCTS'!A:D, 2, FALSE), "")</f>
        <v>Baby Tin 18g</v>
      </c>
      <c r="D38" s="37" t="str">
        <f>IFERROR(VLOOKUP(B38, '📋 PRODUCTS'!A:D, 3, FALSE), "")</f>
        <v>Baby Tin</v>
      </c>
      <c r="E38" s="36">
        <v>3.0</v>
      </c>
      <c r="F38" s="37">
        <f>IFERROR(VLOOKUP(B38, '📋 PRODUCTS'!A:D, 4, FALSE), "")</f>
        <v>2000</v>
      </c>
      <c r="G38" s="37">
        <f t="shared" si="1"/>
        <v>6000</v>
      </c>
      <c r="H38" s="36" t="s">
        <v>133</v>
      </c>
      <c r="I38" s="37"/>
      <c r="J38" s="37"/>
      <c r="K38" s="37"/>
      <c r="L38" s="36" t="s">
        <v>172</v>
      </c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>
      <c r="A39" s="37"/>
      <c r="B39" s="37"/>
      <c r="C39" s="37" t="str">
        <f>IFERROR(VLOOKUP(B39, '📋 PRODUCTS'!A:D, 2, FALSE), "")</f>
        <v/>
      </c>
      <c r="D39" s="37" t="str">
        <f>IFERROR(VLOOKUP(B39, '📋 PRODUCTS'!A:D, 3, FALSE), "")</f>
        <v/>
      </c>
      <c r="E39" s="37"/>
      <c r="F39" s="37" t="str">
        <f>IFERROR(VLOOKUP(B39, '📋 PRODUCTS'!A:D, 4, FALSE), "")</f>
        <v/>
      </c>
      <c r="G39" s="37">
        <f t="shared" si="1"/>
        <v>0</v>
      </c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>
      <c r="A40" s="37"/>
      <c r="B40" s="37"/>
      <c r="C40" s="37" t="str">
        <f>IFERROR(VLOOKUP(B40, '📋 PRODUCTS'!A:D, 2, FALSE), "")</f>
        <v/>
      </c>
      <c r="D40" s="37" t="str">
        <f>IFERROR(VLOOKUP(B40, '📋 PRODUCTS'!A:D, 3, FALSE), "")</f>
        <v/>
      </c>
      <c r="E40" s="37"/>
      <c r="F40" s="37" t="str">
        <f>IFERROR(VLOOKUP(B40, '📋 PRODUCTS'!A:D, 4, FALSE), "")</f>
        <v/>
      </c>
      <c r="G40" s="37">
        <f t="shared" si="1"/>
        <v>0</v>
      </c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>
      <c r="A41" s="37"/>
      <c r="B41" s="37"/>
      <c r="C41" s="37" t="str">
        <f>IFERROR(VLOOKUP(B41, '📋 PRODUCTS'!A:D, 2, FALSE), "")</f>
        <v/>
      </c>
      <c r="D41" s="37" t="str">
        <f>IFERROR(VLOOKUP(B41, '📋 PRODUCTS'!A:D, 3, FALSE), "")</f>
        <v/>
      </c>
      <c r="E41" s="37"/>
      <c r="F41" s="37" t="str">
        <f>IFERROR(VLOOKUP(B41, '📋 PRODUCTS'!A:D, 4, FALSE), "")</f>
        <v/>
      </c>
      <c r="G41" s="37">
        <f t="shared" si="1"/>
        <v>0</v>
      </c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>
      <c r="A42" s="37"/>
      <c r="B42" s="37"/>
      <c r="C42" s="37" t="str">
        <f>IFERROR(VLOOKUP(B42, '📋 PRODUCTS'!A:D, 2, FALSE), "")</f>
        <v/>
      </c>
      <c r="D42" s="37" t="str">
        <f>IFERROR(VLOOKUP(B42, '📋 PRODUCTS'!A:D, 3, FALSE), "")</f>
        <v/>
      </c>
      <c r="E42" s="37"/>
      <c r="F42" s="37" t="str">
        <f>IFERROR(VLOOKUP(B42, '📋 PRODUCTS'!A:D, 4, FALSE), "")</f>
        <v/>
      </c>
      <c r="G42" s="37">
        <f t="shared" si="1"/>
        <v>0</v>
      </c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>
      <c r="A43" s="37"/>
      <c r="B43" s="37"/>
      <c r="C43" s="37" t="str">
        <f>IFERROR(VLOOKUP(B43, '📋 PRODUCTS'!A:D, 2, FALSE), "")</f>
        <v/>
      </c>
      <c r="D43" s="37" t="str">
        <f>IFERROR(VLOOKUP(B43, '📋 PRODUCTS'!A:D, 3, FALSE), "")</f>
        <v/>
      </c>
      <c r="E43" s="37"/>
      <c r="F43" s="37" t="str">
        <f>IFERROR(VLOOKUP(B43, '📋 PRODUCTS'!A:D, 4, FALSE), "")</f>
        <v/>
      </c>
      <c r="G43" s="37">
        <f t="shared" si="1"/>
        <v>0</v>
      </c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>
      <c r="A44" s="37"/>
      <c r="B44" s="37"/>
      <c r="C44" s="37" t="str">
        <f>IFERROR(VLOOKUP(B44, '📋 PRODUCTS'!A:D, 2, FALSE), "")</f>
        <v/>
      </c>
      <c r="D44" s="37" t="str">
        <f>IFERROR(VLOOKUP(B44, '📋 PRODUCTS'!A:D, 3, FALSE), "")</f>
        <v/>
      </c>
      <c r="E44" s="37"/>
      <c r="F44" s="37" t="str">
        <f>IFERROR(VLOOKUP(B44, '📋 PRODUCTS'!A:D, 4, FALSE), "")</f>
        <v/>
      </c>
      <c r="G44" s="37">
        <f t="shared" si="1"/>
        <v>0</v>
      </c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>
      <c r="A45" s="37"/>
      <c r="B45" s="37"/>
      <c r="C45" s="37" t="str">
        <f>IFERROR(VLOOKUP(B45, '📋 PRODUCTS'!A:D, 2, FALSE), "")</f>
        <v/>
      </c>
      <c r="D45" s="37" t="str">
        <f>IFERROR(VLOOKUP(B45, '📋 PRODUCTS'!A:D, 3, FALSE), "")</f>
        <v/>
      </c>
      <c r="E45" s="37"/>
      <c r="F45" s="37" t="str">
        <f>IFERROR(VLOOKUP(B45, '📋 PRODUCTS'!A:D, 4, FALSE), "")</f>
        <v/>
      </c>
      <c r="G45" s="37">
        <f t="shared" si="1"/>
        <v>0</v>
      </c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>
      <c r="A46" s="37"/>
      <c r="B46" s="37"/>
      <c r="C46" s="37" t="str">
        <f>IFERROR(VLOOKUP(B46, '📋 PRODUCTS'!A:D, 2, FALSE), "")</f>
        <v/>
      </c>
      <c r="D46" s="37" t="str">
        <f>IFERROR(VLOOKUP(B46, '📋 PRODUCTS'!A:D, 3, FALSE), "")</f>
        <v/>
      </c>
      <c r="E46" s="37"/>
      <c r="F46" s="37" t="str">
        <f>IFERROR(VLOOKUP(B46, '📋 PRODUCTS'!A:D, 4, FALSE), "")</f>
        <v/>
      </c>
      <c r="G46" s="37">
        <f t="shared" si="1"/>
        <v>0</v>
      </c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>
      <c r="A47" s="37"/>
      <c r="B47" s="37"/>
      <c r="C47" s="37" t="str">
        <f>IFERROR(VLOOKUP(B47, '📋 PRODUCTS'!A:D, 2, FALSE), "")</f>
        <v/>
      </c>
      <c r="D47" s="37" t="str">
        <f>IFERROR(VLOOKUP(B47, '📋 PRODUCTS'!A:D, 3, FALSE), "")</f>
        <v/>
      </c>
      <c r="E47" s="37"/>
      <c r="F47" s="37" t="str">
        <f>IFERROR(VLOOKUP(B47, '📋 PRODUCTS'!A:D, 4, FALSE), "")</f>
        <v/>
      </c>
      <c r="G47" s="37">
        <f t="shared" si="1"/>
        <v>0</v>
      </c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>
      <c r="A48" s="37"/>
      <c r="B48" s="37"/>
      <c r="C48" s="37" t="str">
        <f>IFERROR(VLOOKUP(B48, '📋 PRODUCTS'!A:D, 2, FALSE), "")</f>
        <v/>
      </c>
      <c r="D48" s="37" t="str">
        <f>IFERROR(VLOOKUP(B48, '📋 PRODUCTS'!A:D, 3, FALSE), "")</f>
        <v/>
      </c>
      <c r="E48" s="37"/>
      <c r="F48" s="37" t="str">
        <f>IFERROR(VLOOKUP(B48, '📋 PRODUCTS'!A:D, 4, FALSE), "")</f>
        <v/>
      </c>
      <c r="G48" s="37">
        <f t="shared" si="1"/>
        <v>0</v>
      </c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>
      <c r="A49" s="37"/>
      <c r="B49" s="37"/>
      <c r="C49" s="37" t="str">
        <f>IFERROR(VLOOKUP(B49, '📋 PRODUCTS'!A:D, 2, FALSE), "")</f>
        <v/>
      </c>
      <c r="D49" s="37" t="str">
        <f>IFERROR(VLOOKUP(B49, '📋 PRODUCTS'!A:D, 3, FALSE), "")</f>
        <v/>
      </c>
      <c r="E49" s="37"/>
      <c r="F49" s="37" t="str">
        <f>IFERROR(VLOOKUP(B49, '📋 PRODUCTS'!A:D, 4, FALSE), "")</f>
        <v/>
      </c>
      <c r="G49" s="37">
        <f t="shared" si="1"/>
        <v>0</v>
      </c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>
      <c r="A50" s="37"/>
      <c r="B50" s="37"/>
      <c r="C50" s="37" t="str">
        <f>IFERROR(VLOOKUP(B50, '📋 PRODUCTS'!A:D, 2, FALSE), "")</f>
        <v/>
      </c>
      <c r="D50" s="37" t="str">
        <f>IFERROR(VLOOKUP(B50, '📋 PRODUCTS'!A:D, 3, FALSE), "")</f>
        <v/>
      </c>
      <c r="E50" s="37"/>
      <c r="F50" s="37" t="str">
        <f>IFERROR(VLOOKUP(B50, '📋 PRODUCTS'!A:D, 4, FALSE), "")</f>
        <v/>
      </c>
      <c r="G50" s="37">
        <f t="shared" si="1"/>
        <v>0</v>
      </c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>
      <c r="A51" s="37"/>
      <c r="B51" s="37"/>
      <c r="C51" s="37" t="str">
        <f>IFERROR(VLOOKUP(B51, '📋 PRODUCTS'!A:D, 2, FALSE), "")</f>
        <v/>
      </c>
      <c r="D51" s="37" t="str">
        <f>IFERROR(VLOOKUP(B51, '📋 PRODUCTS'!A:D, 3, FALSE), "")</f>
        <v/>
      </c>
      <c r="E51" s="37"/>
      <c r="F51" s="37" t="str">
        <f>IFERROR(VLOOKUP(B51, '📋 PRODUCTS'!A:D, 4, FALSE), "")</f>
        <v/>
      </c>
      <c r="G51" s="37">
        <f t="shared" si="1"/>
        <v>0</v>
      </c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>
      <c r="A52" s="37"/>
      <c r="B52" s="37"/>
      <c r="C52" s="37" t="str">
        <f>IFERROR(VLOOKUP(B52, '📋 PRODUCTS'!A:D, 2, FALSE), "")</f>
        <v/>
      </c>
      <c r="D52" s="37" t="str">
        <f>IFERROR(VLOOKUP(B52, '📋 PRODUCTS'!A:D, 3, FALSE), "")</f>
        <v/>
      </c>
      <c r="E52" s="37"/>
      <c r="F52" s="37" t="str">
        <f>IFERROR(VLOOKUP(B52, '📋 PRODUCTS'!A:D, 4, FALSE), "")</f>
        <v/>
      </c>
      <c r="G52" s="37">
        <f t="shared" si="1"/>
        <v>0</v>
      </c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>
      <c r="A53" s="37"/>
      <c r="B53" s="37"/>
      <c r="C53" s="37" t="str">
        <f>IFERROR(VLOOKUP(B53, '📋 PRODUCTS'!A:D, 2, FALSE), "")</f>
        <v/>
      </c>
      <c r="D53" s="37" t="str">
        <f>IFERROR(VLOOKUP(B53, '📋 PRODUCTS'!A:D, 3, FALSE), "")</f>
        <v/>
      </c>
      <c r="E53" s="37"/>
      <c r="F53" s="37" t="str">
        <f>IFERROR(VLOOKUP(B53, '📋 PRODUCTS'!A:D, 4, FALSE), "")</f>
        <v/>
      </c>
      <c r="G53" s="37">
        <f t="shared" si="1"/>
        <v>0</v>
      </c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>
      <c r="A54" s="37"/>
      <c r="B54" s="37"/>
      <c r="C54" s="37" t="str">
        <f>IFERROR(VLOOKUP(B54, '📋 PRODUCTS'!A:D, 2, FALSE), "")</f>
        <v/>
      </c>
      <c r="D54" s="37" t="str">
        <f>IFERROR(VLOOKUP(B54, '📋 PRODUCTS'!A:D, 3, FALSE), "")</f>
        <v/>
      </c>
      <c r="E54" s="37"/>
      <c r="F54" s="37" t="str">
        <f>IFERROR(VLOOKUP(B54, '📋 PRODUCTS'!A:D, 4, FALSE), "")</f>
        <v/>
      </c>
      <c r="G54" s="37">
        <f t="shared" si="1"/>
        <v>0</v>
      </c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>
      <c r="A55" s="37"/>
      <c r="B55" s="37"/>
      <c r="C55" s="37" t="str">
        <f>IFERROR(VLOOKUP(B55, '📋 PRODUCTS'!A:D, 2, FALSE), "")</f>
        <v/>
      </c>
      <c r="D55" s="37" t="str">
        <f>IFERROR(VLOOKUP(B55, '📋 PRODUCTS'!A:D, 3, FALSE), "")</f>
        <v/>
      </c>
      <c r="E55" s="37"/>
      <c r="F55" s="37" t="str">
        <f>IFERROR(VLOOKUP(B55, '📋 PRODUCTS'!A:D, 4, FALSE), "")</f>
        <v/>
      </c>
      <c r="G55" s="37">
        <f t="shared" si="1"/>
        <v>0</v>
      </c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>
      <c r="A56" s="37"/>
      <c r="B56" s="37"/>
      <c r="C56" s="37" t="str">
        <f>IFERROR(VLOOKUP(B56, '📋 PRODUCTS'!A:D, 2, FALSE), "")</f>
        <v/>
      </c>
      <c r="D56" s="37" t="str">
        <f>IFERROR(VLOOKUP(B56, '📋 PRODUCTS'!A:D, 3, FALSE), "")</f>
        <v/>
      </c>
      <c r="E56" s="37"/>
      <c r="F56" s="37" t="str">
        <f>IFERROR(VLOOKUP(B56, '📋 PRODUCTS'!A:D, 4, FALSE), "")</f>
        <v/>
      </c>
      <c r="G56" s="37">
        <f t="shared" si="1"/>
        <v>0</v>
      </c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>
      <c r="A57" s="37"/>
      <c r="B57" s="37"/>
      <c r="C57" s="37" t="str">
        <f>IFERROR(VLOOKUP(B57, '📋 PRODUCTS'!A:D, 2, FALSE), "")</f>
        <v/>
      </c>
      <c r="D57" s="37" t="str">
        <f>IFERROR(VLOOKUP(B57, '📋 PRODUCTS'!A:D, 3, FALSE), "")</f>
        <v/>
      </c>
      <c r="E57" s="37"/>
      <c r="F57" s="37" t="str">
        <f>IFERROR(VLOOKUP(B57, '📋 PRODUCTS'!A:D, 4, FALSE), "")</f>
        <v/>
      </c>
      <c r="G57" s="37">
        <f t="shared" si="1"/>
        <v>0</v>
      </c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>
      <c r="A58" s="37"/>
      <c r="B58" s="37"/>
      <c r="C58" s="37" t="str">
        <f>IFERROR(VLOOKUP(B58, '📋 PRODUCTS'!A:D, 2, FALSE), "")</f>
        <v/>
      </c>
      <c r="D58" s="37" t="str">
        <f>IFERROR(VLOOKUP(B58, '📋 PRODUCTS'!A:D, 3, FALSE), "")</f>
        <v/>
      </c>
      <c r="E58" s="37"/>
      <c r="F58" s="37" t="str">
        <f>IFERROR(VLOOKUP(B58, '📋 PRODUCTS'!A:D, 4, FALSE), "")</f>
        <v/>
      </c>
      <c r="G58" s="37">
        <f t="shared" si="1"/>
        <v>0</v>
      </c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>
      <c r="A59" s="37"/>
      <c r="B59" s="37"/>
      <c r="C59" s="37" t="str">
        <f>IFERROR(VLOOKUP(B59, '📋 PRODUCTS'!A:D, 2, FALSE), "")</f>
        <v/>
      </c>
      <c r="D59" s="37" t="str">
        <f>IFERROR(VLOOKUP(B59, '📋 PRODUCTS'!A:D, 3, FALSE), "")</f>
        <v/>
      </c>
      <c r="E59" s="37"/>
      <c r="F59" s="37" t="str">
        <f>IFERROR(VLOOKUP(B59, '📋 PRODUCTS'!A:D, 4, FALSE), "")</f>
        <v/>
      </c>
      <c r="G59" s="37">
        <f t="shared" si="1"/>
        <v>0</v>
      </c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>
      <c r="A60" s="37"/>
      <c r="B60" s="37"/>
      <c r="C60" s="37" t="str">
        <f>IFERROR(VLOOKUP(B60, '📋 PRODUCTS'!A:D, 2, FALSE), "")</f>
        <v/>
      </c>
      <c r="D60" s="37" t="str">
        <f>IFERROR(VLOOKUP(B60, '📋 PRODUCTS'!A:D, 3, FALSE), "")</f>
        <v/>
      </c>
      <c r="E60" s="37"/>
      <c r="F60" s="37" t="str">
        <f>IFERROR(VLOOKUP(B60, '📋 PRODUCTS'!A:D, 4, FALSE), "")</f>
        <v/>
      </c>
      <c r="G60" s="37">
        <f t="shared" si="1"/>
        <v>0</v>
      </c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>
      <c r="A61" s="37"/>
      <c r="B61" s="37"/>
      <c r="C61" s="37" t="str">
        <f>IFERROR(VLOOKUP(B61, '📋 PRODUCTS'!A:D, 2, FALSE), "")</f>
        <v/>
      </c>
      <c r="D61" s="37" t="str">
        <f>IFERROR(VLOOKUP(B61, '📋 PRODUCTS'!A:D, 3, FALSE), "")</f>
        <v/>
      </c>
      <c r="E61" s="37"/>
      <c r="F61" s="37" t="str">
        <f>IFERROR(VLOOKUP(B61, '📋 PRODUCTS'!A:D, 4, FALSE), "")</f>
        <v/>
      </c>
      <c r="G61" s="37">
        <f t="shared" si="1"/>
        <v>0</v>
      </c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>
      <c r="A62" s="37"/>
      <c r="B62" s="37"/>
      <c r="C62" s="37" t="str">
        <f>IFERROR(VLOOKUP(B62, '📋 PRODUCTS'!A:D, 2, FALSE), "")</f>
        <v/>
      </c>
      <c r="D62" s="37" t="str">
        <f>IFERROR(VLOOKUP(B62, '📋 PRODUCTS'!A:D, 3, FALSE), "")</f>
        <v/>
      </c>
      <c r="E62" s="37"/>
      <c r="F62" s="37" t="str">
        <f>IFERROR(VLOOKUP(B62, '📋 PRODUCTS'!A:D, 4, FALSE), "")</f>
        <v/>
      </c>
      <c r="G62" s="37">
        <f t="shared" si="1"/>
        <v>0</v>
      </c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>
      <c r="A63" s="37"/>
      <c r="B63" s="37"/>
      <c r="C63" s="37" t="str">
        <f>IFERROR(VLOOKUP(B63, '📋 PRODUCTS'!A:D, 2, FALSE), "")</f>
        <v/>
      </c>
      <c r="D63" s="37" t="str">
        <f>IFERROR(VLOOKUP(B63, '📋 PRODUCTS'!A:D, 3, FALSE), "")</f>
        <v/>
      </c>
      <c r="E63" s="37"/>
      <c r="F63" s="37" t="str">
        <f>IFERROR(VLOOKUP(B63, '📋 PRODUCTS'!A:D, 4, FALSE), "")</f>
        <v/>
      </c>
      <c r="G63" s="37">
        <f t="shared" si="1"/>
        <v>0</v>
      </c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>
      <c r="A64" s="37"/>
      <c r="B64" s="37"/>
      <c r="C64" s="37" t="str">
        <f>IFERROR(VLOOKUP(B64, '📋 PRODUCTS'!A:D, 2, FALSE), "")</f>
        <v/>
      </c>
      <c r="D64" s="37" t="str">
        <f>IFERROR(VLOOKUP(B64, '📋 PRODUCTS'!A:D, 3, FALSE), "")</f>
        <v/>
      </c>
      <c r="E64" s="37"/>
      <c r="F64" s="37" t="str">
        <f>IFERROR(VLOOKUP(B64, '📋 PRODUCTS'!A:D, 4, FALSE), "")</f>
        <v/>
      </c>
      <c r="G64" s="37">
        <f t="shared" si="1"/>
        <v>0</v>
      </c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>
      <c r="A65" s="37"/>
      <c r="B65" s="37"/>
      <c r="C65" s="37" t="str">
        <f>IFERROR(VLOOKUP(B65, '📋 PRODUCTS'!A:D, 2, FALSE), "")</f>
        <v/>
      </c>
      <c r="D65" s="37" t="str">
        <f>IFERROR(VLOOKUP(B65, '📋 PRODUCTS'!A:D, 3, FALSE), "")</f>
        <v/>
      </c>
      <c r="E65" s="37"/>
      <c r="F65" s="37" t="str">
        <f>IFERROR(VLOOKUP(B65, '📋 PRODUCTS'!A:D, 4, FALSE), "")</f>
        <v/>
      </c>
      <c r="G65" s="37">
        <f t="shared" si="1"/>
        <v>0</v>
      </c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>
      <c r="A66" s="37"/>
      <c r="B66" s="37"/>
      <c r="C66" s="37" t="str">
        <f>IFERROR(VLOOKUP(B66, '📋 PRODUCTS'!A:D, 2, FALSE), "")</f>
        <v/>
      </c>
      <c r="D66" s="37" t="str">
        <f>IFERROR(VLOOKUP(B66, '📋 PRODUCTS'!A:D, 3, FALSE), "")</f>
        <v/>
      </c>
      <c r="E66" s="37"/>
      <c r="F66" s="37" t="str">
        <f>IFERROR(VLOOKUP(B66, '📋 PRODUCTS'!A:D, 4, FALSE), "")</f>
        <v/>
      </c>
      <c r="G66" s="37">
        <f t="shared" si="1"/>
        <v>0</v>
      </c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>
      <c r="A67" s="37"/>
      <c r="B67" s="37"/>
      <c r="C67" s="37" t="str">
        <f>IFERROR(VLOOKUP(B67, '📋 PRODUCTS'!A:D, 2, FALSE), "")</f>
        <v/>
      </c>
      <c r="D67" s="37" t="str">
        <f>IFERROR(VLOOKUP(B67, '📋 PRODUCTS'!A:D, 3, FALSE), "")</f>
        <v/>
      </c>
      <c r="E67" s="37"/>
      <c r="F67" s="37" t="str">
        <f>IFERROR(VLOOKUP(B67, '📋 PRODUCTS'!A:D, 4, FALSE), "")</f>
        <v/>
      </c>
      <c r="G67" s="37">
        <f t="shared" si="1"/>
        <v>0</v>
      </c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>
      <c r="A68" s="37"/>
      <c r="B68" s="37"/>
      <c r="C68" s="37" t="str">
        <f>IFERROR(VLOOKUP(B68, '📋 PRODUCTS'!A:D, 2, FALSE), "")</f>
        <v/>
      </c>
      <c r="D68" s="37" t="str">
        <f>IFERROR(VLOOKUP(B68, '📋 PRODUCTS'!A:D, 3, FALSE), "")</f>
        <v/>
      </c>
      <c r="E68" s="37"/>
      <c r="F68" s="37" t="str">
        <f>IFERROR(VLOOKUP(B68, '📋 PRODUCTS'!A:D, 4, FALSE), "")</f>
        <v/>
      </c>
      <c r="G68" s="37">
        <f t="shared" si="1"/>
        <v>0</v>
      </c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>
      <c r="A69" s="37"/>
      <c r="B69" s="37"/>
      <c r="C69" s="37" t="str">
        <f>IFERROR(VLOOKUP(B69, '📋 PRODUCTS'!A:D, 2, FALSE), "")</f>
        <v/>
      </c>
      <c r="D69" s="37" t="str">
        <f>IFERROR(VLOOKUP(B69, '📋 PRODUCTS'!A:D, 3, FALSE), "")</f>
        <v/>
      </c>
      <c r="E69" s="37"/>
      <c r="F69" s="37" t="str">
        <f>IFERROR(VLOOKUP(B69, '📋 PRODUCTS'!A:D, 4, FALSE), "")</f>
        <v/>
      </c>
      <c r="G69" s="37">
        <f t="shared" si="1"/>
        <v>0</v>
      </c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>
      <c r="A70" s="37"/>
      <c r="B70" s="37"/>
      <c r="C70" s="37" t="str">
        <f>IFERROR(VLOOKUP(B70, '📋 PRODUCTS'!A:D, 2, FALSE), "")</f>
        <v/>
      </c>
      <c r="D70" s="37" t="str">
        <f>IFERROR(VLOOKUP(B70, '📋 PRODUCTS'!A:D, 3, FALSE), "")</f>
        <v/>
      </c>
      <c r="E70" s="37"/>
      <c r="F70" s="37" t="str">
        <f>IFERROR(VLOOKUP(B70, '📋 PRODUCTS'!A:D, 4, FALSE), "")</f>
        <v/>
      </c>
      <c r="G70" s="37">
        <f t="shared" si="1"/>
        <v>0</v>
      </c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>
      <c r="A71" s="37"/>
      <c r="B71" s="37"/>
      <c r="C71" s="37" t="str">
        <f>IFERROR(VLOOKUP(B71, '📋 PRODUCTS'!A:D, 2, FALSE), "")</f>
        <v/>
      </c>
      <c r="D71" s="37" t="str">
        <f>IFERROR(VLOOKUP(B71, '📋 PRODUCTS'!A:D, 3, FALSE), "")</f>
        <v/>
      </c>
      <c r="E71" s="37"/>
      <c r="F71" s="37" t="str">
        <f>IFERROR(VLOOKUP(B71, '📋 PRODUCTS'!A:D, 4, FALSE), "")</f>
        <v/>
      </c>
      <c r="G71" s="37">
        <f t="shared" si="1"/>
        <v>0</v>
      </c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>
      <c r="A72" s="37"/>
      <c r="B72" s="37"/>
      <c r="C72" s="37" t="str">
        <f>IFERROR(VLOOKUP(B72, '📋 PRODUCTS'!A:D, 2, FALSE), "")</f>
        <v/>
      </c>
      <c r="D72" s="37" t="str">
        <f>IFERROR(VLOOKUP(B72, '📋 PRODUCTS'!A:D, 3, FALSE), "")</f>
        <v/>
      </c>
      <c r="E72" s="37"/>
      <c r="F72" s="37" t="str">
        <f>IFERROR(VLOOKUP(B72, '📋 PRODUCTS'!A:D, 4, FALSE), "")</f>
        <v/>
      </c>
      <c r="G72" s="37">
        <f t="shared" si="1"/>
        <v>0</v>
      </c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>
      <c r="A73" s="37"/>
      <c r="B73" s="37"/>
      <c r="C73" s="37" t="str">
        <f>IFERROR(VLOOKUP(B73, '📋 PRODUCTS'!A:D, 2, FALSE), "")</f>
        <v/>
      </c>
      <c r="D73" s="37" t="str">
        <f>IFERROR(VLOOKUP(B73, '📋 PRODUCTS'!A:D, 3, FALSE), "")</f>
        <v/>
      </c>
      <c r="E73" s="37"/>
      <c r="F73" s="37" t="str">
        <f>IFERROR(VLOOKUP(B73, '📋 PRODUCTS'!A:D, 4, FALSE), "")</f>
        <v/>
      </c>
      <c r="G73" s="37">
        <f t="shared" si="1"/>
        <v>0</v>
      </c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>
      <c r="A74" s="37"/>
      <c r="B74" s="37"/>
      <c r="C74" s="37" t="str">
        <f>IFERROR(VLOOKUP(B74, '📋 PRODUCTS'!A:D, 2, FALSE), "")</f>
        <v/>
      </c>
      <c r="D74" s="37" t="str">
        <f>IFERROR(VLOOKUP(B74, '📋 PRODUCTS'!A:D, 3, FALSE), "")</f>
        <v/>
      </c>
      <c r="E74" s="37"/>
      <c r="F74" s="37" t="str">
        <f>IFERROR(VLOOKUP(B74, '📋 PRODUCTS'!A:D, 4, FALSE), "")</f>
        <v/>
      </c>
      <c r="G74" s="37">
        <f t="shared" si="1"/>
        <v>0</v>
      </c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>
      <c r="A75" s="37"/>
      <c r="B75" s="37"/>
      <c r="C75" s="37" t="str">
        <f>IFERROR(VLOOKUP(B75, '📋 PRODUCTS'!A:D, 2, FALSE), "")</f>
        <v/>
      </c>
      <c r="D75" s="37" t="str">
        <f>IFERROR(VLOOKUP(B75, '📋 PRODUCTS'!A:D, 3, FALSE), "")</f>
        <v/>
      </c>
      <c r="E75" s="37"/>
      <c r="F75" s="37" t="str">
        <f>IFERROR(VLOOKUP(B75, '📋 PRODUCTS'!A:D, 4, FALSE), "")</f>
        <v/>
      </c>
      <c r="G75" s="37">
        <f t="shared" si="1"/>
        <v>0</v>
      </c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>
      <c r="A76" s="37"/>
      <c r="B76" s="37"/>
      <c r="C76" s="37" t="str">
        <f>IFERROR(VLOOKUP(B76, '📋 PRODUCTS'!A:D, 2, FALSE), "")</f>
        <v/>
      </c>
      <c r="D76" s="37" t="str">
        <f>IFERROR(VLOOKUP(B76, '📋 PRODUCTS'!A:D, 3, FALSE), "")</f>
        <v/>
      </c>
      <c r="E76" s="37"/>
      <c r="F76" s="37" t="str">
        <f>IFERROR(VLOOKUP(B76, '📋 PRODUCTS'!A:D, 4, FALSE), "")</f>
        <v/>
      </c>
      <c r="G76" s="37">
        <f t="shared" si="1"/>
        <v>0</v>
      </c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>
      <c r="A77" s="37"/>
      <c r="B77" s="37"/>
      <c r="C77" s="37" t="str">
        <f>IFERROR(VLOOKUP(B77, '📋 PRODUCTS'!A:D, 2, FALSE), "")</f>
        <v/>
      </c>
      <c r="D77" s="37" t="str">
        <f>IFERROR(VLOOKUP(B77, '📋 PRODUCTS'!A:D, 3, FALSE), "")</f>
        <v/>
      </c>
      <c r="E77" s="37"/>
      <c r="F77" s="37" t="str">
        <f>IFERROR(VLOOKUP(B77, '📋 PRODUCTS'!A:D, 4, FALSE), "")</f>
        <v/>
      </c>
      <c r="G77" s="37">
        <f t="shared" si="1"/>
        <v>0</v>
      </c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>
      <c r="A78" s="37"/>
      <c r="B78" s="37"/>
      <c r="C78" s="37" t="str">
        <f>IFERROR(VLOOKUP(B78, '📋 PRODUCTS'!A:D, 2, FALSE), "")</f>
        <v/>
      </c>
      <c r="D78" s="37" t="str">
        <f>IFERROR(VLOOKUP(B78, '📋 PRODUCTS'!A:D, 3, FALSE), "")</f>
        <v/>
      </c>
      <c r="E78" s="37"/>
      <c r="F78" s="37" t="str">
        <f>IFERROR(VLOOKUP(B78, '📋 PRODUCTS'!A:D, 4, FALSE), "")</f>
        <v/>
      </c>
      <c r="G78" s="37">
        <f t="shared" si="1"/>
        <v>0</v>
      </c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>
      <c r="A79" s="37"/>
      <c r="B79" s="37"/>
      <c r="C79" s="37" t="str">
        <f>IFERROR(VLOOKUP(B79, '📋 PRODUCTS'!A:D, 2, FALSE), "")</f>
        <v/>
      </c>
      <c r="D79" s="37" t="str">
        <f>IFERROR(VLOOKUP(B79, '📋 PRODUCTS'!A:D, 3, FALSE), "")</f>
        <v/>
      </c>
      <c r="E79" s="37"/>
      <c r="F79" s="37" t="str">
        <f>IFERROR(VLOOKUP(B79, '📋 PRODUCTS'!A:D, 4, FALSE), "")</f>
        <v/>
      </c>
      <c r="G79" s="37">
        <f t="shared" si="1"/>
        <v>0</v>
      </c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>
      <c r="A80" s="37"/>
      <c r="B80" s="37"/>
      <c r="C80" s="37" t="str">
        <f>IFERROR(VLOOKUP(B80, '📋 PRODUCTS'!A:D, 2, FALSE), "")</f>
        <v/>
      </c>
      <c r="D80" s="37" t="str">
        <f>IFERROR(VLOOKUP(B80, '📋 PRODUCTS'!A:D, 3, FALSE), "")</f>
        <v/>
      </c>
      <c r="E80" s="37"/>
      <c r="F80" s="37" t="str">
        <f>IFERROR(VLOOKUP(B80, '📋 PRODUCTS'!A:D, 4, FALSE), "")</f>
        <v/>
      </c>
      <c r="G80" s="37">
        <f t="shared" si="1"/>
        <v>0</v>
      </c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>
      <c r="A81" s="37"/>
      <c r="B81" s="37"/>
      <c r="C81" s="37" t="str">
        <f>IFERROR(VLOOKUP(B81, '📋 PRODUCTS'!A:D, 2, FALSE), "")</f>
        <v/>
      </c>
      <c r="D81" s="37" t="str">
        <f>IFERROR(VLOOKUP(B81, '📋 PRODUCTS'!A:D, 3, FALSE), "")</f>
        <v/>
      </c>
      <c r="E81" s="37"/>
      <c r="F81" s="37" t="str">
        <f>IFERROR(VLOOKUP(B81, '📋 PRODUCTS'!A:D, 4, FALSE), "")</f>
        <v/>
      </c>
      <c r="G81" s="37">
        <f t="shared" si="1"/>
        <v>0</v>
      </c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>
      <c r="A82" s="37"/>
      <c r="B82" s="37"/>
      <c r="C82" s="37" t="str">
        <f>IFERROR(VLOOKUP(B82, '📋 PRODUCTS'!A:D, 2, FALSE), "")</f>
        <v/>
      </c>
      <c r="D82" s="37" t="str">
        <f>IFERROR(VLOOKUP(B82, '📋 PRODUCTS'!A:D, 3, FALSE), "")</f>
        <v/>
      </c>
      <c r="E82" s="37"/>
      <c r="F82" s="37" t="str">
        <f>IFERROR(VLOOKUP(B82, '📋 PRODUCTS'!A:D, 4, FALSE), "")</f>
        <v/>
      </c>
      <c r="G82" s="37">
        <f t="shared" si="1"/>
        <v>0</v>
      </c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>
      <c r="A83" s="37"/>
      <c r="B83" s="37"/>
      <c r="C83" s="37" t="str">
        <f>IFERROR(VLOOKUP(B83, '📋 PRODUCTS'!A:D, 2, FALSE), "")</f>
        <v/>
      </c>
      <c r="D83" s="37" t="str">
        <f>IFERROR(VLOOKUP(B83, '📋 PRODUCTS'!A:D, 3, FALSE), "")</f>
        <v/>
      </c>
      <c r="E83" s="37"/>
      <c r="F83" s="37" t="str">
        <f>IFERROR(VLOOKUP(B83, '📋 PRODUCTS'!A:D, 4, FALSE), "")</f>
        <v/>
      </c>
      <c r="G83" s="37">
        <f t="shared" si="1"/>
        <v>0</v>
      </c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>
      <c r="A84" s="37"/>
      <c r="B84" s="37"/>
      <c r="C84" s="37" t="str">
        <f>IFERROR(VLOOKUP(B84, '📋 PRODUCTS'!A:D, 2, FALSE), "")</f>
        <v/>
      </c>
      <c r="D84" s="37" t="str">
        <f>IFERROR(VLOOKUP(B84, '📋 PRODUCTS'!A:D, 3, FALSE), "")</f>
        <v/>
      </c>
      <c r="E84" s="37"/>
      <c r="F84" s="37" t="str">
        <f>IFERROR(VLOOKUP(B84, '📋 PRODUCTS'!A:D, 4, FALSE), "")</f>
        <v/>
      </c>
      <c r="G84" s="37">
        <f t="shared" si="1"/>
        <v>0</v>
      </c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>
      <c r="A85" s="37"/>
      <c r="B85" s="37"/>
      <c r="C85" s="37" t="str">
        <f>IFERROR(VLOOKUP(B85, '📋 PRODUCTS'!A:D, 2, FALSE), "")</f>
        <v/>
      </c>
      <c r="D85" s="37" t="str">
        <f>IFERROR(VLOOKUP(B85, '📋 PRODUCTS'!A:D, 3, FALSE), "")</f>
        <v/>
      </c>
      <c r="E85" s="37"/>
      <c r="F85" s="37" t="str">
        <f>IFERROR(VLOOKUP(B85, '📋 PRODUCTS'!A:D, 4, FALSE), "")</f>
        <v/>
      </c>
      <c r="G85" s="37">
        <f t="shared" si="1"/>
        <v>0</v>
      </c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>
      <c r="A86" s="37"/>
      <c r="B86" s="37"/>
      <c r="C86" s="37" t="str">
        <f>IFERROR(VLOOKUP(B86, '📋 PRODUCTS'!A:D, 2, FALSE), "")</f>
        <v/>
      </c>
      <c r="D86" s="37" t="str">
        <f>IFERROR(VLOOKUP(B86, '📋 PRODUCTS'!A:D, 3, FALSE), "")</f>
        <v/>
      </c>
      <c r="E86" s="37"/>
      <c r="F86" s="37" t="str">
        <f>IFERROR(VLOOKUP(B86, '📋 PRODUCTS'!A:D, 4, FALSE), "")</f>
        <v/>
      </c>
      <c r="G86" s="37">
        <f t="shared" si="1"/>
        <v>0</v>
      </c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>
      <c r="A87" s="37"/>
      <c r="B87" s="37"/>
      <c r="C87" s="37" t="str">
        <f>IFERROR(VLOOKUP(B87, '📋 PRODUCTS'!A:D, 2, FALSE), "")</f>
        <v/>
      </c>
      <c r="D87" s="37" t="str">
        <f>IFERROR(VLOOKUP(B87, '📋 PRODUCTS'!A:D, 3, FALSE), "")</f>
        <v/>
      </c>
      <c r="E87" s="37"/>
      <c r="F87" s="37" t="str">
        <f>IFERROR(VLOOKUP(B87, '📋 PRODUCTS'!A:D, 4, FALSE), "")</f>
        <v/>
      </c>
      <c r="G87" s="37">
        <f t="shared" si="1"/>
        <v>0</v>
      </c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>
      <c r="A88" s="37"/>
      <c r="B88" s="37"/>
      <c r="C88" s="37" t="str">
        <f>IFERROR(VLOOKUP(B88, '📋 PRODUCTS'!A:D, 2, FALSE), "")</f>
        <v/>
      </c>
      <c r="D88" s="37" t="str">
        <f>IFERROR(VLOOKUP(B88, '📋 PRODUCTS'!A:D, 3, FALSE), "")</f>
        <v/>
      </c>
      <c r="E88" s="37"/>
      <c r="F88" s="37" t="str">
        <f>IFERROR(VLOOKUP(B88, '📋 PRODUCTS'!A:D, 4, FALSE), "")</f>
        <v/>
      </c>
      <c r="G88" s="37">
        <f t="shared" si="1"/>
        <v>0</v>
      </c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>
      <c r="A89" s="37"/>
      <c r="B89" s="37"/>
      <c r="C89" s="37" t="str">
        <f>IFERROR(VLOOKUP(B89, '📋 PRODUCTS'!A:D, 2, FALSE), "")</f>
        <v/>
      </c>
      <c r="D89" s="37" t="str">
        <f>IFERROR(VLOOKUP(B89, '📋 PRODUCTS'!A:D, 3, FALSE), "")</f>
        <v/>
      </c>
      <c r="E89" s="37"/>
      <c r="F89" s="37" t="str">
        <f>IFERROR(VLOOKUP(B89, '📋 PRODUCTS'!A:D, 4, FALSE), "")</f>
        <v/>
      </c>
      <c r="G89" s="37">
        <f t="shared" si="1"/>
        <v>0</v>
      </c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>
      <c r="A90" s="37"/>
      <c r="B90" s="37"/>
      <c r="C90" s="37" t="str">
        <f>IFERROR(VLOOKUP(B90, '📋 PRODUCTS'!A:D, 2, FALSE), "")</f>
        <v/>
      </c>
      <c r="D90" s="37" t="str">
        <f>IFERROR(VLOOKUP(B90, '📋 PRODUCTS'!A:D, 3, FALSE), "")</f>
        <v/>
      </c>
      <c r="E90" s="37"/>
      <c r="F90" s="37" t="str">
        <f>IFERROR(VLOOKUP(B90, '📋 PRODUCTS'!A:D, 4, FALSE), "")</f>
        <v/>
      </c>
      <c r="G90" s="37">
        <f t="shared" si="1"/>
        <v>0</v>
      </c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>
      <c r="A91" s="37"/>
      <c r="B91" s="37"/>
      <c r="C91" s="37" t="str">
        <f>IFERROR(VLOOKUP(B91, '📋 PRODUCTS'!A:D, 2, FALSE), "")</f>
        <v/>
      </c>
      <c r="D91" s="37" t="str">
        <f>IFERROR(VLOOKUP(B91, '📋 PRODUCTS'!A:D, 3, FALSE), "")</f>
        <v/>
      </c>
      <c r="E91" s="37"/>
      <c r="F91" s="37" t="str">
        <f>IFERROR(VLOOKUP(B91, '📋 PRODUCTS'!A:D, 4, FALSE), "")</f>
        <v/>
      </c>
      <c r="G91" s="37">
        <f t="shared" si="1"/>
        <v>0</v>
      </c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>
      <c r="A92" s="37"/>
      <c r="B92" s="37"/>
      <c r="C92" s="37" t="str">
        <f>IFERROR(VLOOKUP(B92, '📋 PRODUCTS'!A:D, 2, FALSE), "")</f>
        <v/>
      </c>
      <c r="D92" s="37" t="str">
        <f>IFERROR(VLOOKUP(B92, '📋 PRODUCTS'!A:D, 3, FALSE), "")</f>
        <v/>
      </c>
      <c r="E92" s="37"/>
      <c r="F92" s="37" t="str">
        <f>IFERROR(VLOOKUP(B92, '📋 PRODUCTS'!A:D, 4, FALSE), "")</f>
        <v/>
      </c>
      <c r="G92" s="37">
        <f t="shared" si="1"/>
        <v>0</v>
      </c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>
      <c r="A93" s="37"/>
      <c r="B93" s="37"/>
      <c r="C93" s="37" t="str">
        <f>IFERROR(VLOOKUP(B93, '📋 PRODUCTS'!A:D, 2, FALSE), "")</f>
        <v/>
      </c>
      <c r="D93" s="37" t="str">
        <f>IFERROR(VLOOKUP(B93, '📋 PRODUCTS'!A:D, 3, FALSE), "")</f>
        <v/>
      </c>
      <c r="E93" s="37"/>
      <c r="F93" s="37" t="str">
        <f>IFERROR(VLOOKUP(B93, '📋 PRODUCTS'!A:D, 4, FALSE), "")</f>
        <v/>
      </c>
      <c r="G93" s="37">
        <f t="shared" si="1"/>
        <v>0</v>
      </c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>
      <c r="A94" s="37"/>
      <c r="B94" s="37"/>
      <c r="C94" s="37" t="str">
        <f>IFERROR(VLOOKUP(B94, '📋 PRODUCTS'!A:D, 2, FALSE), "")</f>
        <v/>
      </c>
      <c r="D94" s="37" t="str">
        <f>IFERROR(VLOOKUP(B94, '📋 PRODUCTS'!A:D, 3, FALSE), "")</f>
        <v/>
      </c>
      <c r="E94" s="37"/>
      <c r="F94" s="37" t="str">
        <f>IFERROR(VLOOKUP(B94, '📋 PRODUCTS'!A:D, 4, FALSE), "")</f>
        <v/>
      </c>
      <c r="G94" s="37">
        <f t="shared" si="1"/>
        <v>0</v>
      </c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>
      <c r="A95" s="37"/>
      <c r="B95" s="37"/>
      <c r="C95" s="37" t="str">
        <f>IFERROR(VLOOKUP(B95, '📋 PRODUCTS'!A:D, 2, FALSE), "")</f>
        <v/>
      </c>
      <c r="D95" s="37" t="str">
        <f>IFERROR(VLOOKUP(B95, '📋 PRODUCTS'!A:D, 3, FALSE), "")</f>
        <v/>
      </c>
      <c r="E95" s="37"/>
      <c r="F95" s="37" t="str">
        <f>IFERROR(VLOOKUP(B95, '📋 PRODUCTS'!A:D, 4, FALSE), "")</f>
        <v/>
      </c>
      <c r="G95" s="37">
        <f t="shared" si="1"/>
        <v>0</v>
      </c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>
      <c r="A96" s="37"/>
      <c r="B96" s="37"/>
      <c r="C96" s="37" t="str">
        <f>IFERROR(VLOOKUP(B96, '📋 PRODUCTS'!A:D, 2, FALSE), "")</f>
        <v/>
      </c>
      <c r="D96" s="37" t="str">
        <f>IFERROR(VLOOKUP(B96, '📋 PRODUCTS'!A:D, 3, FALSE), "")</f>
        <v/>
      </c>
      <c r="E96" s="37"/>
      <c r="F96" s="37" t="str">
        <f>IFERROR(VLOOKUP(B96, '📋 PRODUCTS'!A:D, 4, FALSE), "")</f>
        <v/>
      </c>
      <c r="G96" s="37">
        <f t="shared" si="1"/>
        <v>0</v>
      </c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>
      <c r="A97" s="37"/>
      <c r="B97" s="37"/>
      <c r="C97" s="37" t="str">
        <f>IFERROR(VLOOKUP(B97, '📋 PRODUCTS'!A:D, 2, FALSE), "")</f>
        <v/>
      </c>
      <c r="D97" s="37" t="str">
        <f>IFERROR(VLOOKUP(B97, '📋 PRODUCTS'!A:D, 3, FALSE), "")</f>
        <v/>
      </c>
      <c r="E97" s="37"/>
      <c r="F97" s="37" t="str">
        <f>IFERROR(VLOOKUP(B97, '📋 PRODUCTS'!A:D, 4, FALSE), "")</f>
        <v/>
      </c>
      <c r="G97" s="37">
        <f t="shared" si="1"/>
        <v>0</v>
      </c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>
      <c r="A98" s="37"/>
      <c r="B98" s="37"/>
      <c r="C98" s="37" t="str">
        <f>IFERROR(VLOOKUP(B98, '📋 PRODUCTS'!A:D, 2, FALSE), "")</f>
        <v/>
      </c>
      <c r="D98" s="37" t="str">
        <f>IFERROR(VLOOKUP(B98, '📋 PRODUCTS'!A:D, 3, FALSE), "")</f>
        <v/>
      </c>
      <c r="E98" s="37"/>
      <c r="F98" s="37" t="str">
        <f>IFERROR(VLOOKUP(B98, '📋 PRODUCTS'!A:D, 4, FALSE), "")</f>
        <v/>
      </c>
      <c r="G98" s="37">
        <f t="shared" si="1"/>
        <v>0</v>
      </c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>
      <c r="A99" s="37"/>
      <c r="B99" s="37"/>
      <c r="C99" s="37" t="str">
        <f>IFERROR(VLOOKUP(B99, '📋 PRODUCTS'!A:D, 2, FALSE), "")</f>
        <v/>
      </c>
      <c r="D99" s="37" t="str">
        <f>IFERROR(VLOOKUP(B99, '📋 PRODUCTS'!A:D, 3, FALSE), "")</f>
        <v/>
      </c>
      <c r="E99" s="37"/>
      <c r="F99" s="37" t="str">
        <f>IFERROR(VLOOKUP(B99, '📋 PRODUCTS'!A:D, 4, FALSE), "")</f>
        <v/>
      </c>
      <c r="G99" s="37">
        <f t="shared" si="1"/>
        <v>0</v>
      </c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>
      <c r="A100" s="37"/>
      <c r="B100" s="37"/>
      <c r="C100" s="37" t="str">
        <f>IFERROR(VLOOKUP(B100, '📋 PRODUCTS'!A:D, 2, FALSE), "")</f>
        <v/>
      </c>
      <c r="D100" s="37" t="str">
        <f>IFERROR(VLOOKUP(B100, '📋 PRODUCTS'!A:D, 3, FALSE), "")</f>
        <v/>
      </c>
      <c r="E100" s="37"/>
      <c r="F100" s="37" t="str">
        <f>IFERROR(VLOOKUP(B100, '📋 PRODUCTS'!A:D, 4, FALSE), "")</f>
        <v/>
      </c>
      <c r="G100" s="37">
        <f t="shared" si="1"/>
        <v>0</v>
      </c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>
      <c r="A101" s="37"/>
      <c r="B101" s="37"/>
      <c r="C101" s="37" t="str">
        <f>IFERROR(VLOOKUP(B101, '📋 PRODUCTS'!A:D, 2, FALSE), "")</f>
        <v/>
      </c>
      <c r="D101" s="37" t="str">
        <f>IFERROR(VLOOKUP(B101, '📋 PRODUCTS'!A:D, 3, FALSE), "")</f>
        <v/>
      </c>
      <c r="E101" s="37"/>
      <c r="F101" s="37" t="str">
        <f>IFERROR(VLOOKUP(B101, '📋 PRODUCTS'!A:D, 4, FALSE), "")</f>
        <v/>
      </c>
      <c r="G101" s="37">
        <f t="shared" si="1"/>
        <v>0</v>
      </c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>
      <c r="A102" s="37"/>
      <c r="B102" s="37"/>
      <c r="C102" s="37" t="str">
        <f>IFERROR(VLOOKUP(B102, '📋 PRODUCTS'!A:D, 2, FALSE), "")</f>
        <v/>
      </c>
      <c r="D102" s="37" t="str">
        <f>IFERROR(VLOOKUP(B102, '📋 PRODUCTS'!A:D, 3, FALSE), "")</f>
        <v/>
      </c>
      <c r="E102" s="37"/>
      <c r="F102" s="37" t="str">
        <f>IFERROR(VLOOKUP(B102, '📋 PRODUCTS'!A:D, 4, FALSE), "")</f>
        <v/>
      </c>
      <c r="G102" s="37">
        <f t="shared" si="1"/>
        <v>0</v>
      </c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>
      <c r="A103" s="37"/>
      <c r="B103" s="37"/>
      <c r="C103" s="37" t="str">
        <f>IFERROR(VLOOKUP(B103, '📋 PRODUCTS'!A:D, 2, FALSE), "")</f>
        <v/>
      </c>
      <c r="D103" s="37" t="str">
        <f>IFERROR(VLOOKUP(B103, '📋 PRODUCTS'!A:D, 3, FALSE), "")</f>
        <v/>
      </c>
      <c r="E103" s="37"/>
      <c r="F103" s="37" t="str">
        <f>IFERROR(VLOOKUP(B103, '📋 PRODUCTS'!A:D, 4, FALSE), "")</f>
        <v/>
      </c>
      <c r="G103" s="37">
        <f t="shared" si="1"/>
        <v>0</v>
      </c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>
      <c r="A104" s="37"/>
      <c r="B104" s="37"/>
      <c r="C104" s="37" t="str">
        <f>IFERROR(VLOOKUP(B104, '📋 PRODUCTS'!A:D, 2, FALSE), "")</f>
        <v/>
      </c>
      <c r="D104" s="37" t="str">
        <f>IFERROR(VLOOKUP(B104, '📋 PRODUCTS'!A:D, 3, FALSE), "")</f>
        <v/>
      </c>
      <c r="E104" s="37"/>
      <c r="F104" s="37" t="str">
        <f>IFERROR(VLOOKUP(B104, '📋 PRODUCTS'!A:D, 4, FALSE), "")</f>
        <v/>
      </c>
      <c r="G104" s="37">
        <f t="shared" si="1"/>
        <v>0</v>
      </c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>
      <c r="A105" s="37"/>
      <c r="B105" s="37"/>
      <c r="C105" s="37" t="str">
        <f>IFERROR(VLOOKUP(B105, '📋 PRODUCTS'!A:D, 2, FALSE), "")</f>
        <v/>
      </c>
      <c r="D105" s="37" t="str">
        <f>IFERROR(VLOOKUP(B105, '📋 PRODUCTS'!A:D, 3, FALSE), "")</f>
        <v/>
      </c>
      <c r="E105" s="37"/>
      <c r="F105" s="37" t="str">
        <f>IFERROR(VLOOKUP(B105, '📋 PRODUCTS'!A:D, 4, FALSE), "")</f>
        <v/>
      </c>
      <c r="G105" s="37">
        <f t="shared" si="1"/>
        <v>0</v>
      </c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>
      <c r="A106" s="37"/>
      <c r="B106" s="37"/>
      <c r="C106" s="37" t="str">
        <f>IFERROR(VLOOKUP(B106, '📋 PRODUCTS'!A:D, 2, FALSE), "")</f>
        <v/>
      </c>
      <c r="D106" s="37" t="str">
        <f>IFERROR(VLOOKUP(B106, '📋 PRODUCTS'!A:D, 3, FALSE), "")</f>
        <v/>
      </c>
      <c r="E106" s="37"/>
      <c r="F106" s="37" t="str">
        <f>IFERROR(VLOOKUP(B106, '📋 PRODUCTS'!A:D, 4, FALSE), "")</f>
        <v/>
      </c>
      <c r="G106" s="37">
        <f t="shared" si="1"/>
        <v>0</v>
      </c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>
      <c r="A107" s="37"/>
      <c r="B107" s="37"/>
      <c r="C107" s="37" t="str">
        <f>IFERROR(VLOOKUP(B107, '📋 PRODUCTS'!A:D, 2, FALSE), "")</f>
        <v/>
      </c>
      <c r="D107" s="37" t="str">
        <f>IFERROR(VLOOKUP(B107, '📋 PRODUCTS'!A:D, 3, FALSE), "")</f>
        <v/>
      </c>
      <c r="E107" s="37"/>
      <c r="F107" s="37" t="str">
        <f>IFERROR(VLOOKUP(B107, '📋 PRODUCTS'!A:D, 4, FALSE), "")</f>
        <v/>
      </c>
      <c r="G107" s="37">
        <f t="shared" si="1"/>
        <v>0</v>
      </c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>
      <c r="A108" s="37"/>
      <c r="B108" s="37"/>
      <c r="C108" s="37" t="str">
        <f>IFERROR(VLOOKUP(B108, '📋 PRODUCTS'!A:D, 2, FALSE), "")</f>
        <v/>
      </c>
      <c r="D108" s="37" t="str">
        <f>IFERROR(VLOOKUP(B108, '📋 PRODUCTS'!A:D, 3, FALSE), "")</f>
        <v/>
      </c>
      <c r="E108" s="37"/>
      <c r="F108" s="37" t="str">
        <f>IFERROR(VLOOKUP(B108, '📋 PRODUCTS'!A:D, 4, FALSE), "")</f>
        <v/>
      </c>
      <c r="G108" s="37">
        <f t="shared" si="1"/>
        <v>0</v>
      </c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>
      <c r="A109" s="37"/>
      <c r="B109" s="37"/>
      <c r="C109" s="37" t="str">
        <f>IFERROR(VLOOKUP(B109, '📋 PRODUCTS'!A:D, 2, FALSE), "")</f>
        <v/>
      </c>
      <c r="D109" s="37" t="str">
        <f>IFERROR(VLOOKUP(B109, '📋 PRODUCTS'!A:D, 3, FALSE), "")</f>
        <v/>
      </c>
      <c r="E109" s="37"/>
      <c r="F109" s="37" t="str">
        <f>IFERROR(VLOOKUP(B109, '📋 PRODUCTS'!A:D, 4, FALSE), "")</f>
        <v/>
      </c>
      <c r="G109" s="37">
        <f t="shared" si="1"/>
        <v>0</v>
      </c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>
      <c r="A110" s="37"/>
      <c r="B110" s="37"/>
      <c r="C110" s="37" t="str">
        <f>IFERROR(VLOOKUP(B110, '📋 PRODUCTS'!A:D, 2, FALSE), "")</f>
        <v/>
      </c>
      <c r="D110" s="37" t="str">
        <f>IFERROR(VLOOKUP(B110, '📋 PRODUCTS'!A:D, 3, FALSE), "")</f>
        <v/>
      </c>
      <c r="E110" s="37"/>
      <c r="F110" s="37" t="str">
        <f>IFERROR(VLOOKUP(B110, '📋 PRODUCTS'!A:D, 4, FALSE), "")</f>
        <v/>
      </c>
      <c r="G110" s="37">
        <f t="shared" si="1"/>
        <v>0</v>
      </c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>
      <c r="A111" s="37"/>
      <c r="B111" s="37"/>
      <c r="C111" s="37" t="str">
        <f>IFERROR(VLOOKUP(B111, '📋 PRODUCTS'!A:D, 2, FALSE), "")</f>
        <v/>
      </c>
      <c r="D111" s="37" t="str">
        <f>IFERROR(VLOOKUP(B111, '📋 PRODUCTS'!A:D, 3, FALSE), "")</f>
        <v/>
      </c>
      <c r="E111" s="37"/>
      <c r="F111" s="37" t="str">
        <f>IFERROR(VLOOKUP(B111, '📋 PRODUCTS'!A:D, 4, FALSE), "")</f>
        <v/>
      </c>
      <c r="G111" s="37">
        <f t="shared" si="1"/>
        <v>0</v>
      </c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>
      <c r="A112" s="37"/>
      <c r="B112" s="37"/>
      <c r="C112" s="37" t="str">
        <f>IFERROR(VLOOKUP(B112, '📋 PRODUCTS'!A:D, 2, FALSE), "")</f>
        <v/>
      </c>
      <c r="D112" s="37" t="str">
        <f>IFERROR(VLOOKUP(B112, '📋 PRODUCTS'!A:D, 3, FALSE), "")</f>
        <v/>
      </c>
      <c r="E112" s="37"/>
      <c r="F112" s="37" t="str">
        <f>IFERROR(VLOOKUP(B112, '📋 PRODUCTS'!A:D, 4, FALSE), "")</f>
        <v/>
      </c>
      <c r="G112" s="37">
        <f t="shared" si="1"/>
        <v>0</v>
      </c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>
      <c r="A113" s="37"/>
      <c r="B113" s="37"/>
      <c r="C113" s="37" t="str">
        <f>IFERROR(VLOOKUP(B113, '📋 PRODUCTS'!A:D, 2, FALSE), "")</f>
        <v/>
      </c>
      <c r="D113" s="37" t="str">
        <f>IFERROR(VLOOKUP(B113, '📋 PRODUCTS'!A:D, 3, FALSE), "")</f>
        <v/>
      </c>
      <c r="E113" s="37"/>
      <c r="F113" s="37" t="str">
        <f>IFERROR(VLOOKUP(B113, '📋 PRODUCTS'!A:D, 4, FALSE), "")</f>
        <v/>
      </c>
      <c r="G113" s="37">
        <f t="shared" si="1"/>
        <v>0</v>
      </c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>
      <c r="A114" s="37"/>
      <c r="B114" s="37"/>
      <c r="C114" s="37" t="str">
        <f>IFERROR(VLOOKUP(B114, '📋 PRODUCTS'!A:D, 2, FALSE), "")</f>
        <v/>
      </c>
      <c r="D114" s="37" t="str">
        <f>IFERROR(VLOOKUP(B114, '📋 PRODUCTS'!A:D, 3, FALSE), "")</f>
        <v/>
      </c>
      <c r="E114" s="37"/>
      <c r="F114" s="37" t="str">
        <f>IFERROR(VLOOKUP(B114, '📋 PRODUCTS'!A:D, 4, FALSE), "")</f>
        <v/>
      </c>
      <c r="G114" s="37">
        <f t="shared" si="1"/>
        <v>0</v>
      </c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>
      <c r="A115" s="37"/>
      <c r="B115" s="37"/>
      <c r="C115" s="37" t="str">
        <f>IFERROR(VLOOKUP(B115, '📋 PRODUCTS'!A:D, 2, FALSE), "")</f>
        <v/>
      </c>
      <c r="D115" s="37" t="str">
        <f>IFERROR(VLOOKUP(B115, '📋 PRODUCTS'!A:D, 3, FALSE), "")</f>
        <v/>
      </c>
      <c r="E115" s="37"/>
      <c r="F115" s="37" t="str">
        <f>IFERROR(VLOOKUP(B115, '📋 PRODUCTS'!A:D, 4, FALSE), "")</f>
        <v/>
      </c>
      <c r="G115" s="37">
        <f t="shared" si="1"/>
        <v>0</v>
      </c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>
      <c r="A116" s="37"/>
      <c r="B116" s="37"/>
      <c r="C116" s="37" t="str">
        <f>IFERROR(VLOOKUP(B116, '📋 PRODUCTS'!A:D, 2, FALSE), "")</f>
        <v/>
      </c>
      <c r="D116" s="37" t="str">
        <f>IFERROR(VLOOKUP(B116, '📋 PRODUCTS'!A:D, 3, FALSE), "")</f>
        <v/>
      </c>
      <c r="E116" s="37"/>
      <c r="F116" s="37" t="str">
        <f>IFERROR(VLOOKUP(B116, '📋 PRODUCTS'!A:D, 4, FALSE), "")</f>
        <v/>
      </c>
      <c r="G116" s="37">
        <f t="shared" si="1"/>
        <v>0</v>
      </c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>
      <c r="A117" s="37"/>
      <c r="B117" s="37"/>
      <c r="C117" s="37" t="str">
        <f>IFERROR(VLOOKUP(B117, '📋 PRODUCTS'!A:D, 2, FALSE), "")</f>
        <v/>
      </c>
      <c r="D117" s="37" t="str">
        <f>IFERROR(VLOOKUP(B117, '📋 PRODUCTS'!A:D, 3, FALSE), "")</f>
        <v/>
      </c>
      <c r="E117" s="37"/>
      <c r="F117" s="37" t="str">
        <f>IFERROR(VLOOKUP(B117, '📋 PRODUCTS'!A:D, 4, FALSE), "")</f>
        <v/>
      </c>
      <c r="G117" s="37">
        <f t="shared" si="1"/>
        <v>0</v>
      </c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>
      <c r="A118" s="37"/>
      <c r="B118" s="37"/>
      <c r="C118" s="37" t="str">
        <f>IFERROR(VLOOKUP(B118, '📋 PRODUCTS'!A:D, 2, FALSE), "")</f>
        <v/>
      </c>
      <c r="D118" s="37" t="str">
        <f>IFERROR(VLOOKUP(B118, '📋 PRODUCTS'!A:D, 3, FALSE), "")</f>
        <v/>
      </c>
      <c r="E118" s="37"/>
      <c r="F118" s="37" t="str">
        <f>IFERROR(VLOOKUP(B118, '📋 PRODUCTS'!A:D, 4, FALSE), "")</f>
        <v/>
      </c>
      <c r="G118" s="37">
        <f t="shared" si="1"/>
        <v>0</v>
      </c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>
      <c r="A119" s="37"/>
      <c r="B119" s="37"/>
      <c r="C119" s="37" t="str">
        <f>IFERROR(VLOOKUP(B119, '📋 PRODUCTS'!A:D, 2, FALSE), "")</f>
        <v/>
      </c>
      <c r="D119" s="37" t="str">
        <f>IFERROR(VLOOKUP(B119, '📋 PRODUCTS'!A:D, 3, FALSE), "")</f>
        <v/>
      </c>
      <c r="E119" s="37"/>
      <c r="F119" s="37" t="str">
        <f>IFERROR(VLOOKUP(B119, '📋 PRODUCTS'!A:D, 4, FALSE), "")</f>
        <v/>
      </c>
      <c r="G119" s="37">
        <f t="shared" si="1"/>
        <v>0</v>
      </c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>
      <c r="A120" s="37"/>
      <c r="B120" s="37"/>
      <c r="C120" s="37" t="str">
        <f>IFERROR(VLOOKUP(B120, '📋 PRODUCTS'!A:D, 2, FALSE), "")</f>
        <v/>
      </c>
      <c r="D120" s="37" t="str">
        <f>IFERROR(VLOOKUP(B120, '📋 PRODUCTS'!A:D, 3, FALSE), "")</f>
        <v/>
      </c>
      <c r="E120" s="37"/>
      <c r="F120" s="37" t="str">
        <f>IFERROR(VLOOKUP(B120, '📋 PRODUCTS'!A:D, 4, FALSE), "")</f>
        <v/>
      </c>
      <c r="G120" s="37">
        <f t="shared" si="1"/>
        <v>0</v>
      </c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>
      <c r="A121" s="37"/>
      <c r="B121" s="37"/>
      <c r="C121" s="37" t="str">
        <f>IFERROR(VLOOKUP(B121, '📋 PRODUCTS'!A:D, 2, FALSE), "")</f>
        <v/>
      </c>
      <c r="D121" s="37" t="str">
        <f>IFERROR(VLOOKUP(B121, '📋 PRODUCTS'!A:D, 3, FALSE), "")</f>
        <v/>
      </c>
      <c r="E121" s="37"/>
      <c r="F121" s="37" t="str">
        <f>IFERROR(VLOOKUP(B121, '📋 PRODUCTS'!A:D, 4, FALSE), "")</f>
        <v/>
      </c>
      <c r="G121" s="37">
        <f t="shared" si="1"/>
        <v>0</v>
      </c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>
      <c r="A122" s="37"/>
      <c r="B122" s="37"/>
      <c r="C122" s="37" t="str">
        <f>IFERROR(VLOOKUP(B122, '📋 PRODUCTS'!A:D, 2, FALSE), "")</f>
        <v/>
      </c>
      <c r="D122" s="37" t="str">
        <f>IFERROR(VLOOKUP(B122, '📋 PRODUCTS'!A:D, 3, FALSE), "")</f>
        <v/>
      </c>
      <c r="E122" s="37"/>
      <c r="F122" s="37" t="str">
        <f>IFERROR(VLOOKUP(B122, '📋 PRODUCTS'!A:D, 4, FALSE), "")</f>
        <v/>
      </c>
      <c r="G122" s="37">
        <f t="shared" si="1"/>
        <v>0</v>
      </c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>
      <c r="A123" s="37"/>
      <c r="B123" s="37"/>
      <c r="C123" s="37" t="str">
        <f>IFERROR(VLOOKUP(B123, '📋 PRODUCTS'!A:D, 2, FALSE), "")</f>
        <v/>
      </c>
      <c r="D123" s="37" t="str">
        <f>IFERROR(VLOOKUP(B123, '📋 PRODUCTS'!A:D, 3, FALSE), "")</f>
        <v/>
      </c>
      <c r="E123" s="37"/>
      <c r="F123" s="37" t="str">
        <f>IFERROR(VLOOKUP(B123, '📋 PRODUCTS'!A:D, 4, FALSE), "")</f>
        <v/>
      </c>
      <c r="G123" s="37">
        <f t="shared" si="1"/>
        <v>0</v>
      </c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>
      <c r="A124" s="37"/>
      <c r="B124" s="37"/>
      <c r="C124" s="37" t="str">
        <f>IFERROR(VLOOKUP(B124, '📋 PRODUCTS'!A:D, 2, FALSE), "")</f>
        <v/>
      </c>
      <c r="D124" s="37" t="str">
        <f>IFERROR(VLOOKUP(B124, '📋 PRODUCTS'!A:D, 3, FALSE), "")</f>
        <v/>
      </c>
      <c r="E124" s="37"/>
      <c r="F124" s="37" t="str">
        <f>IFERROR(VLOOKUP(B124, '📋 PRODUCTS'!A:D, 4, FALSE), "")</f>
        <v/>
      </c>
      <c r="G124" s="37">
        <f t="shared" si="1"/>
        <v>0</v>
      </c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>
      <c r="A125" s="37"/>
      <c r="B125" s="37"/>
      <c r="C125" s="37" t="str">
        <f>IFERROR(VLOOKUP(B125, '📋 PRODUCTS'!A:D, 2, FALSE), "")</f>
        <v/>
      </c>
      <c r="D125" s="37" t="str">
        <f>IFERROR(VLOOKUP(B125, '📋 PRODUCTS'!A:D, 3, FALSE), "")</f>
        <v/>
      </c>
      <c r="E125" s="37"/>
      <c r="F125" s="37" t="str">
        <f>IFERROR(VLOOKUP(B125, '📋 PRODUCTS'!A:D, 4, FALSE), "")</f>
        <v/>
      </c>
      <c r="G125" s="37">
        <f t="shared" si="1"/>
        <v>0</v>
      </c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>
      <c r="A126" s="37"/>
      <c r="B126" s="37"/>
      <c r="C126" s="37" t="str">
        <f>IFERROR(VLOOKUP(B126, '📋 PRODUCTS'!A:D, 2, FALSE), "")</f>
        <v/>
      </c>
      <c r="D126" s="37" t="str">
        <f>IFERROR(VLOOKUP(B126, '📋 PRODUCTS'!A:D, 3, FALSE), "")</f>
        <v/>
      </c>
      <c r="E126" s="37"/>
      <c r="F126" s="37" t="str">
        <f>IFERROR(VLOOKUP(B126, '📋 PRODUCTS'!A:D, 4, FALSE), "")</f>
        <v/>
      </c>
      <c r="G126" s="37">
        <f t="shared" si="1"/>
        <v>0</v>
      </c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>
      <c r="A127" s="37"/>
      <c r="B127" s="37"/>
      <c r="C127" s="37" t="str">
        <f>IFERROR(VLOOKUP(B127, '📋 PRODUCTS'!A:D, 2, FALSE), "")</f>
        <v/>
      </c>
      <c r="D127" s="37" t="str">
        <f>IFERROR(VLOOKUP(B127, '📋 PRODUCTS'!A:D, 3, FALSE), "")</f>
        <v/>
      </c>
      <c r="E127" s="37"/>
      <c r="F127" s="37" t="str">
        <f>IFERROR(VLOOKUP(B127, '📋 PRODUCTS'!A:D, 4, FALSE), "")</f>
        <v/>
      </c>
      <c r="G127" s="37">
        <f t="shared" si="1"/>
        <v>0</v>
      </c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>
      <c r="A128" s="37"/>
      <c r="B128" s="37"/>
      <c r="C128" s="37" t="str">
        <f>IFERROR(VLOOKUP(B128, '📋 PRODUCTS'!A:D, 2, FALSE), "")</f>
        <v/>
      </c>
      <c r="D128" s="37" t="str">
        <f>IFERROR(VLOOKUP(B128, '📋 PRODUCTS'!A:D, 3, FALSE), "")</f>
        <v/>
      </c>
      <c r="E128" s="37"/>
      <c r="F128" s="37" t="str">
        <f>IFERROR(VLOOKUP(B128, '📋 PRODUCTS'!A:D, 4, FALSE), "")</f>
        <v/>
      </c>
      <c r="G128" s="37">
        <f t="shared" si="1"/>
        <v>0</v>
      </c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>
      <c r="A129" s="37"/>
      <c r="B129" s="37"/>
      <c r="C129" s="37" t="str">
        <f>IFERROR(VLOOKUP(B129, '📋 PRODUCTS'!A:D, 2, FALSE), "")</f>
        <v/>
      </c>
      <c r="D129" s="37" t="str">
        <f>IFERROR(VLOOKUP(B129, '📋 PRODUCTS'!A:D, 3, FALSE), "")</f>
        <v/>
      </c>
      <c r="E129" s="37"/>
      <c r="F129" s="37" t="str">
        <f>IFERROR(VLOOKUP(B129, '📋 PRODUCTS'!A:D, 4, FALSE), "")</f>
        <v/>
      </c>
      <c r="G129" s="37">
        <f t="shared" si="1"/>
        <v>0</v>
      </c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>
      <c r="A130" s="37"/>
      <c r="B130" s="37"/>
      <c r="C130" s="37" t="str">
        <f>IFERROR(VLOOKUP(B130, '📋 PRODUCTS'!A:D, 2, FALSE), "")</f>
        <v/>
      </c>
      <c r="D130" s="37" t="str">
        <f>IFERROR(VLOOKUP(B130, '📋 PRODUCTS'!A:D, 3, FALSE), "")</f>
        <v/>
      </c>
      <c r="E130" s="37"/>
      <c r="F130" s="37" t="str">
        <f>IFERROR(VLOOKUP(B130, '📋 PRODUCTS'!A:D, 4, FALSE), "")</f>
        <v/>
      </c>
      <c r="G130" s="37">
        <f t="shared" si="1"/>
        <v>0</v>
      </c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>
      <c r="A131" s="37"/>
      <c r="B131" s="37"/>
      <c r="C131" s="37" t="str">
        <f>IFERROR(VLOOKUP(B131, '📋 PRODUCTS'!A:D, 2, FALSE), "")</f>
        <v/>
      </c>
      <c r="D131" s="37" t="str">
        <f>IFERROR(VLOOKUP(B131, '📋 PRODUCTS'!A:D, 3, FALSE), "")</f>
        <v/>
      </c>
      <c r="E131" s="37"/>
      <c r="F131" s="37" t="str">
        <f>IFERROR(VLOOKUP(B131, '📋 PRODUCTS'!A:D, 4, FALSE), "")</f>
        <v/>
      </c>
      <c r="G131" s="37">
        <f t="shared" si="1"/>
        <v>0</v>
      </c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>
      <c r="A132" s="37"/>
      <c r="B132" s="37"/>
      <c r="C132" s="37" t="str">
        <f>IFERROR(VLOOKUP(B132, '📋 PRODUCTS'!A:D, 2, FALSE), "")</f>
        <v/>
      </c>
      <c r="D132" s="37" t="str">
        <f>IFERROR(VLOOKUP(B132, '📋 PRODUCTS'!A:D, 3, FALSE), "")</f>
        <v/>
      </c>
      <c r="E132" s="37"/>
      <c r="F132" s="37" t="str">
        <f>IFERROR(VLOOKUP(B132, '📋 PRODUCTS'!A:D, 4, FALSE), "")</f>
        <v/>
      </c>
      <c r="G132" s="37">
        <f t="shared" si="1"/>
        <v>0</v>
      </c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>
      <c r="A133" s="37"/>
      <c r="B133" s="37"/>
      <c r="C133" s="37" t="str">
        <f>IFERROR(VLOOKUP(B133, '📋 PRODUCTS'!A:D, 2, FALSE), "")</f>
        <v/>
      </c>
      <c r="D133" s="37" t="str">
        <f>IFERROR(VLOOKUP(B133, '📋 PRODUCTS'!A:D, 3, FALSE), "")</f>
        <v/>
      </c>
      <c r="E133" s="37"/>
      <c r="F133" s="37" t="str">
        <f>IFERROR(VLOOKUP(B133, '📋 PRODUCTS'!A:D, 4, FALSE), "")</f>
        <v/>
      </c>
      <c r="G133" s="37">
        <f t="shared" si="1"/>
        <v>0</v>
      </c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>
      <c r="A134" s="37"/>
      <c r="B134" s="37"/>
      <c r="C134" s="37" t="str">
        <f>IFERROR(VLOOKUP(B134, '📋 PRODUCTS'!A:D, 2, FALSE), "")</f>
        <v/>
      </c>
      <c r="D134" s="37" t="str">
        <f>IFERROR(VLOOKUP(B134, '📋 PRODUCTS'!A:D, 3, FALSE), "")</f>
        <v/>
      </c>
      <c r="E134" s="37"/>
      <c r="F134" s="37" t="str">
        <f>IFERROR(VLOOKUP(B134, '📋 PRODUCTS'!A:D, 4, FALSE), "")</f>
        <v/>
      </c>
      <c r="G134" s="37">
        <f t="shared" si="1"/>
        <v>0</v>
      </c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>
      <c r="A135" s="37"/>
      <c r="B135" s="37"/>
      <c r="C135" s="37" t="str">
        <f>IFERROR(VLOOKUP(B135, '📋 PRODUCTS'!A:D, 2, FALSE), "")</f>
        <v/>
      </c>
      <c r="D135" s="37" t="str">
        <f>IFERROR(VLOOKUP(B135, '📋 PRODUCTS'!A:D, 3, FALSE), "")</f>
        <v/>
      </c>
      <c r="E135" s="37"/>
      <c r="F135" s="37" t="str">
        <f>IFERROR(VLOOKUP(B135, '📋 PRODUCTS'!A:D, 4, FALSE), "")</f>
        <v/>
      </c>
      <c r="G135" s="37">
        <f t="shared" si="1"/>
        <v>0</v>
      </c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>
      <c r="A136" s="37"/>
      <c r="B136" s="37"/>
      <c r="C136" s="37" t="str">
        <f>IFERROR(VLOOKUP(B136, '📋 PRODUCTS'!A:D, 2, FALSE), "")</f>
        <v/>
      </c>
      <c r="D136" s="37" t="str">
        <f>IFERROR(VLOOKUP(B136, '📋 PRODUCTS'!A:D, 3, FALSE), "")</f>
        <v/>
      </c>
      <c r="E136" s="37"/>
      <c r="F136" s="37" t="str">
        <f>IFERROR(VLOOKUP(B136, '📋 PRODUCTS'!A:D, 4, FALSE), "")</f>
        <v/>
      </c>
      <c r="G136" s="37">
        <f t="shared" si="1"/>
        <v>0</v>
      </c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>
      <c r="A137" s="37"/>
      <c r="B137" s="37"/>
      <c r="C137" s="37" t="str">
        <f>IFERROR(VLOOKUP(B137, '📋 PRODUCTS'!A:D, 2, FALSE), "")</f>
        <v/>
      </c>
      <c r="D137" s="37" t="str">
        <f>IFERROR(VLOOKUP(B137, '📋 PRODUCTS'!A:D, 3, FALSE), "")</f>
        <v/>
      </c>
      <c r="E137" s="37"/>
      <c r="F137" s="37" t="str">
        <f>IFERROR(VLOOKUP(B137, '📋 PRODUCTS'!A:D, 4, FALSE), "")</f>
        <v/>
      </c>
      <c r="G137" s="37">
        <f t="shared" si="1"/>
        <v>0</v>
      </c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>
      <c r="A138" s="37"/>
      <c r="B138" s="37"/>
      <c r="C138" s="37" t="str">
        <f>IFERROR(VLOOKUP(B138, '📋 PRODUCTS'!A:D, 2, FALSE), "")</f>
        <v/>
      </c>
      <c r="D138" s="37" t="str">
        <f>IFERROR(VLOOKUP(B138, '📋 PRODUCTS'!A:D, 3, FALSE), "")</f>
        <v/>
      </c>
      <c r="E138" s="37"/>
      <c r="F138" s="37" t="str">
        <f>IFERROR(VLOOKUP(B138, '📋 PRODUCTS'!A:D, 4, FALSE), "")</f>
        <v/>
      </c>
      <c r="G138" s="37">
        <f t="shared" si="1"/>
        <v>0</v>
      </c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>
      <c r="A139" s="37"/>
      <c r="B139" s="37"/>
      <c r="C139" s="37" t="str">
        <f>IFERROR(VLOOKUP(B139, '📋 PRODUCTS'!A:D, 2, FALSE), "")</f>
        <v/>
      </c>
      <c r="D139" s="37" t="str">
        <f>IFERROR(VLOOKUP(B139, '📋 PRODUCTS'!A:D, 3, FALSE), "")</f>
        <v/>
      </c>
      <c r="E139" s="37"/>
      <c r="F139" s="37" t="str">
        <f>IFERROR(VLOOKUP(B139, '📋 PRODUCTS'!A:D, 4, FALSE), "")</f>
        <v/>
      </c>
      <c r="G139" s="37">
        <f t="shared" si="1"/>
        <v>0</v>
      </c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>
      <c r="A140" s="37"/>
      <c r="B140" s="37"/>
      <c r="C140" s="37" t="str">
        <f>IFERROR(VLOOKUP(B140, '📋 PRODUCTS'!A:D, 2, FALSE), "")</f>
        <v/>
      </c>
      <c r="D140" s="37" t="str">
        <f>IFERROR(VLOOKUP(B140, '📋 PRODUCTS'!A:D, 3, FALSE), "")</f>
        <v/>
      </c>
      <c r="E140" s="37"/>
      <c r="F140" s="37" t="str">
        <f>IFERROR(VLOOKUP(B140, '📋 PRODUCTS'!A:D, 4, FALSE), "")</f>
        <v/>
      </c>
      <c r="G140" s="37">
        <f t="shared" si="1"/>
        <v>0</v>
      </c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>
      <c r="A141" s="37"/>
      <c r="B141" s="37"/>
      <c r="C141" s="37" t="str">
        <f>IFERROR(VLOOKUP(B141, '📋 PRODUCTS'!A:D, 2, FALSE), "")</f>
        <v/>
      </c>
      <c r="D141" s="37" t="str">
        <f>IFERROR(VLOOKUP(B141, '📋 PRODUCTS'!A:D, 3, FALSE), "")</f>
        <v/>
      </c>
      <c r="E141" s="37"/>
      <c r="F141" s="37" t="str">
        <f>IFERROR(VLOOKUP(B141, '📋 PRODUCTS'!A:D, 4, FALSE), "")</f>
        <v/>
      </c>
      <c r="G141" s="37">
        <f t="shared" si="1"/>
        <v>0</v>
      </c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>
      <c r="A142" s="37"/>
      <c r="B142" s="37"/>
      <c r="C142" s="37" t="str">
        <f>IFERROR(VLOOKUP(B142, '📋 PRODUCTS'!A:D, 2, FALSE), "")</f>
        <v/>
      </c>
      <c r="D142" s="37" t="str">
        <f>IFERROR(VLOOKUP(B142, '📋 PRODUCTS'!A:D, 3, FALSE), "")</f>
        <v/>
      </c>
      <c r="E142" s="37"/>
      <c r="F142" s="37" t="str">
        <f>IFERROR(VLOOKUP(B142, '📋 PRODUCTS'!A:D, 4, FALSE), "")</f>
        <v/>
      </c>
      <c r="G142" s="37">
        <f t="shared" si="1"/>
        <v>0</v>
      </c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>
      <c r="A143" s="37"/>
      <c r="B143" s="37"/>
      <c r="C143" s="37" t="str">
        <f>IFERROR(VLOOKUP(B143, '📋 PRODUCTS'!A:D, 2, FALSE), "")</f>
        <v/>
      </c>
      <c r="D143" s="37" t="str">
        <f>IFERROR(VLOOKUP(B143, '📋 PRODUCTS'!A:D, 3, FALSE), "")</f>
        <v/>
      </c>
      <c r="E143" s="37"/>
      <c r="F143" s="37" t="str">
        <f>IFERROR(VLOOKUP(B143, '📋 PRODUCTS'!A:D, 4, FALSE), "")</f>
        <v/>
      </c>
      <c r="G143" s="37">
        <f t="shared" si="1"/>
        <v>0</v>
      </c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>
      <c r="A144" s="37"/>
      <c r="B144" s="37"/>
      <c r="C144" s="37" t="str">
        <f>IFERROR(VLOOKUP(B144, '📋 PRODUCTS'!A:D, 2, FALSE), "")</f>
        <v/>
      </c>
      <c r="D144" s="37" t="str">
        <f>IFERROR(VLOOKUP(B144, '📋 PRODUCTS'!A:D, 3, FALSE), "")</f>
        <v/>
      </c>
      <c r="E144" s="37"/>
      <c r="F144" s="37" t="str">
        <f>IFERROR(VLOOKUP(B144, '📋 PRODUCTS'!A:D, 4, FALSE), "")</f>
        <v/>
      </c>
      <c r="G144" s="37">
        <f t="shared" si="1"/>
        <v>0</v>
      </c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>
      <c r="A145" s="37"/>
      <c r="B145" s="37"/>
      <c r="C145" s="37" t="str">
        <f>IFERROR(VLOOKUP(B145, '📋 PRODUCTS'!A:D, 2, FALSE), "")</f>
        <v/>
      </c>
      <c r="D145" s="37" t="str">
        <f>IFERROR(VLOOKUP(B145, '📋 PRODUCTS'!A:D, 3, FALSE), "")</f>
        <v/>
      </c>
      <c r="E145" s="37"/>
      <c r="F145" s="37" t="str">
        <f>IFERROR(VLOOKUP(B145, '📋 PRODUCTS'!A:D, 4, FALSE), "")</f>
        <v/>
      </c>
      <c r="G145" s="37">
        <f t="shared" si="1"/>
        <v>0</v>
      </c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>
      <c r="A146" s="37"/>
      <c r="B146" s="37"/>
      <c r="C146" s="37" t="str">
        <f>IFERROR(VLOOKUP(B146, '📋 PRODUCTS'!A:D, 2, FALSE), "")</f>
        <v/>
      </c>
      <c r="D146" s="37" t="str">
        <f>IFERROR(VLOOKUP(B146, '📋 PRODUCTS'!A:D, 3, FALSE), "")</f>
        <v/>
      </c>
      <c r="E146" s="37"/>
      <c r="F146" s="37" t="str">
        <f>IFERROR(VLOOKUP(B146, '📋 PRODUCTS'!A:D, 4, FALSE), "")</f>
        <v/>
      </c>
      <c r="G146" s="37">
        <f t="shared" si="1"/>
        <v>0</v>
      </c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>
      <c r="A147" s="37"/>
      <c r="B147" s="37"/>
      <c r="C147" s="37" t="str">
        <f>IFERROR(VLOOKUP(B147, '📋 PRODUCTS'!A:D, 2, FALSE), "")</f>
        <v/>
      </c>
      <c r="D147" s="37" t="str">
        <f>IFERROR(VLOOKUP(B147, '📋 PRODUCTS'!A:D, 3, FALSE), "")</f>
        <v/>
      </c>
      <c r="E147" s="37"/>
      <c r="F147" s="37" t="str">
        <f>IFERROR(VLOOKUP(B147, '📋 PRODUCTS'!A:D, 4, FALSE), "")</f>
        <v/>
      </c>
      <c r="G147" s="37">
        <f t="shared" si="1"/>
        <v>0</v>
      </c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>
      <c r="A148" s="37"/>
      <c r="B148" s="37"/>
      <c r="C148" s="37" t="str">
        <f>IFERROR(VLOOKUP(B148, '📋 PRODUCTS'!A:D, 2, FALSE), "")</f>
        <v/>
      </c>
      <c r="D148" s="37" t="str">
        <f>IFERROR(VLOOKUP(B148, '📋 PRODUCTS'!A:D, 3, FALSE), "")</f>
        <v/>
      </c>
      <c r="E148" s="37"/>
      <c r="F148" s="37" t="str">
        <f>IFERROR(VLOOKUP(B148, '📋 PRODUCTS'!A:D, 4, FALSE), "")</f>
        <v/>
      </c>
      <c r="G148" s="37">
        <f t="shared" si="1"/>
        <v>0</v>
      </c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>
      <c r="A149" s="37"/>
      <c r="B149" s="37"/>
      <c r="C149" s="37" t="str">
        <f>IFERROR(VLOOKUP(B149, '📋 PRODUCTS'!A:D, 2, FALSE), "")</f>
        <v/>
      </c>
      <c r="D149" s="37" t="str">
        <f>IFERROR(VLOOKUP(B149, '📋 PRODUCTS'!A:D, 3, FALSE), "")</f>
        <v/>
      </c>
      <c r="E149" s="37"/>
      <c r="F149" s="37" t="str">
        <f>IFERROR(VLOOKUP(B149, '📋 PRODUCTS'!A:D, 4, FALSE), "")</f>
        <v/>
      </c>
      <c r="G149" s="37">
        <f t="shared" si="1"/>
        <v>0</v>
      </c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>
      <c r="A150" s="37"/>
      <c r="B150" s="37"/>
      <c r="C150" s="37" t="str">
        <f>IFERROR(VLOOKUP(B150, '📋 PRODUCTS'!A:D, 2, FALSE), "")</f>
        <v/>
      </c>
      <c r="D150" s="37" t="str">
        <f>IFERROR(VLOOKUP(B150, '📋 PRODUCTS'!A:D, 3, FALSE), "")</f>
        <v/>
      </c>
      <c r="E150" s="37"/>
      <c r="F150" s="37" t="str">
        <f>IFERROR(VLOOKUP(B150, '📋 PRODUCTS'!A:D, 4, FALSE), "")</f>
        <v/>
      </c>
      <c r="G150" s="37">
        <f t="shared" si="1"/>
        <v>0</v>
      </c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>
      <c r="A151" s="37"/>
      <c r="B151" s="37"/>
      <c r="C151" s="37" t="str">
        <f>IFERROR(VLOOKUP(B151, '📋 PRODUCTS'!A:D, 2, FALSE), "")</f>
        <v/>
      </c>
      <c r="D151" s="37" t="str">
        <f>IFERROR(VLOOKUP(B151, '📋 PRODUCTS'!A:D, 3, FALSE), "")</f>
        <v/>
      </c>
      <c r="E151" s="37"/>
      <c r="F151" s="37" t="str">
        <f>IFERROR(VLOOKUP(B151, '📋 PRODUCTS'!A:D, 4, FALSE), "")</f>
        <v/>
      </c>
      <c r="G151" s="37">
        <f t="shared" si="1"/>
        <v>0</v>
      </c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>
      <c r="A152" s="37"/>
      <c r="B152" s="37"/>
      <c r="C152" s="37" t="str">
        <f>IFERROR(VLOOKUP(B152, '📋 PRODUCTS'!A:D, 2, FALSE), "")</f>
        <v/>
      </c>
      <c r="D152" s="37" t="str">
        <f>IFERROR(VLOOKUP(B152, '📋 PRODUCTS'!A:D, 3, FALSE), "")</f>
        <v/>
      </c>
      <c r="E152" s="37"/>
      <c r="F152" s="37" t="str">
        <f>IFERROR(VLOOKUP(B152, '📋 PRODUCTS'!A:D, 4, FALSE), "")</f>
        <v/>
      </c>
      <c r="G152" s="37">
        <f t="shared" si="1"/>
        <v>0</v>
      </c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>
      <c r="A153" s="37"/>
      <c r="B153" s="37"/>
      <c r="C153" s="37" t="str">
        <f>IFERROR(VLOOKUP(B153, '📋 PRODUCTS'!A:D, 2, FALSE), "")</f>
        <v/>
      </c>
      <c r="D153" s="37" t="str">
        <f>IFERROR(VLOOKUP(B153, '📋 PRODUCTS'!A:D, 3, FALSE), "")</f>
        <v/>
      </c>
      <c r="E153" s="37"/>
      <c r="F153" s="37" t="str">
        <f>IFERROR(VLOOKUP(B153, '📋 PRODUCTS'!A:D, 4, FALSE), "")</f>
        <v/>
      </c>
      <c r="G153" s="37">
        <f t="shared" si="1"/>
        <v>0</v>
      </c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>
      <c r="A154" s="37"/>
      <c r="B154" s="37"/>
      <c r="C154" s="37" t="str">
        <f>IFERROR(VLOOKUP(B154, '📋 PRODUCTS'!A:D, 2, FALSE), "")</f>
        <v/>
      </c>
      <c r="D154" s="37" t="str">
        <f>IFERROR(VLOOKUP(B154, '📋 PRODUCTS'!A:D, 3, FALSE), "")</f>
        <v/>
      </c>
      <c r="E154" s="37"/>
      <c r="F154" s="37" t="str">
        <f>IFERROR(VLOOKUP(B154, '📋 PRODUCTS'!A:D, 4, FALSE), "")</f>
        <v/>
      </c>
      <c r="G154" s="37">
        <f t="shared" si="1"/>
        <v>0</v>
      </c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>
      <c r="A155" s="37"/>
      <c r="B155" s="37"/>
      <c r="C155" s="37" t="str">
        <f>IFERROR(VLOOKUP(B155, '📋 PRODUCTS'!A:D, 2, FALSE), "")</f>
        <v/>
      </c>
      <c r="D155" s="37" t="str">
        <f>IFERROR(VLOOKUP(B155, '📋 PRODUCTS'!A:D, 3, FALSE), "")</f>
        <v/>
      </c>
      <c r="E155" s="37"/>
      <c r="F155" s="37" t="str">
        <f>IFERROR(VLOOKUP(B155, '📋 PRODUCTS'!A:D, 4, FALSE), "")</f>
        <v/>
      </c>
      <c r="G155" s="37">
        <f t="shared" si="1"/>
        <v>0</v>
      </c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>
      <c r="A156" s="37"/>
      <c r="B156" s="37"/>
      <c r="C156" s="37" t="str">
        <f>IFERROR(VLOOKUP(B156, '📋 PRODUCTS'!A:D, 2, FALSE), "")</f>
        <v/>
      </c>
      <c r="D156" s="37" t="str">
        <f>IFERROR(VLOOKUP(B156, '📋 PRODUCTS'!A:D, 3, FALSE), "")</f>
        <v/>
      </c>
      <c r="E156" s="37"/>
      <c r="F156" s="37" t="str">
        <f>IFERROR(VLOOKUP(B156, '📋 PRODUCTS'!A:D, 4, FALSE), "")</f>
        <v/>
      </c>
      <c r="G156" s="37">
        <f t="shared" si="1"/>
        <v>0</v>
      </c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>
      <c r="A157" s="37"/>
      <c r="B157" s="37"/>
      <c r="C157" s="37" t="str">
        <f>IFERROR(VLOOKUP(B157, '📋 PRODUCTS'!A:D, 2, FALSE), "")</f>
        <v/>
      </c>
      <c r="D157" s="37" t="str">
        <f>IFERROR(VLOOKUP(B157, '📋 PRODUCTS'!A:D, 3, FALSE), "")</f>
        <v/>
      </c>
      <c r="E157" s="37"/>
      <c r="F157" s="37" t="str">
        <f>IFERROR(VLOOKUP(B157, '📋 PRODUCTS'!A:D, 4, FALSE), "")</f>
        <v/>
      </c>
      <c r="G157" s="37">
        <f t="shared" si="1"/>
        <v>0</v>
      </c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>
      <c r="A158" s="37"/>
      <c r="B158" s="37"/>
      <c r="C158" s="37" t="str">
        <f>IFERROR(VLOOKUP(B158, '📋 PRODUCTS'!A:D, 2, FALSE), "")</f>
        <v/>
      </c>
      <c r="D158" s="37" t="str">
        <f>IFERROR(VLOOKUP(B158, '📋 PRODUCTS'!A:D, 3, FALSE), "")</f>
        <v/>
      </c>
      <c r="E158" s="37"/>
      <c r="F158" s="37" t="str">
        <f>IFERROR(VLOOKUP(B158, '📋 PRODUCTS'!A:D, 4, FALSE), "")</f>
        <v/>
      </c>
      <c r="G158" s="37">
        <f t="shared" si="1"/>
        <v>0</v>
      </c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>
      <c r="A159" s="37"/>
      <c r="B159" s="37"/>
      <c r="C159" s="37" t="str">
        <f>IFERROR(VLOOKUP(B159, '📋 PRODUCTS'!A:D, 2, FALSE), "")</f>
        <v/>
      </c>
      <c r="D159" s="37" t="str">
        <f>IFERROR(VLOOKUP(B159, '📋 PRODUCTS'!A:D, 3, FALSE), "")</f>
        <v/>
      </c>
      <c r="E159" s="37"/>
      <c r="F159" s="37" t="str">
        <f>IFERROR(VLOOKUP(B159, '📋 PRODUCTS'!A:D, 4, FALSE), "")</f>
        <v/>
      </c>
      <c r="G159" s="37">
        <f t="shared" si="1"/>
        <v>0</v>
      </c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>
      <c r="A160" s="37"/>
      <c r="B160" s="37"/>
      <c r="C160" s="37" t="str">
        <f>IFERROR(VLOOKUP(B160, '📋 PRODUCTS'!A:D, 2, FALSE), "")</f>
        <v/>
      </c>
      <c r="D160" s="37" t="str">
        <f>IFERROR(VLOOKUP(B160, '📋 PRODUCTS'!A:D, 3, FALSE), "")</f>
        <v/>
      </c>
      <c r="E160" s="37"/>
      <c r="F160" s="37" t="str">
        <f>IFERROR(VLOOKUP(B160, '📋 PRODUCTS'!A:D, 4, FALSE), "")</f>
        <v/>
      </c>
      <c r="G160" s="37">
        <f t="shared" si="1"/>
        <v>0</v>
      </c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>
      <c r="A161" s="37"/>
      <c r="B161" s="37"/>
      <c r="C161" s="37" t="str">
        <f>IFERROR(VLOOKUP(B161, '📋 PRODUCTS'!A:D, 2, FALSE), "")</f>
        <v/>
      </c>
      <c r="D161" s="37" t="str">
        <f>IFERROR(VLOOKUP(B161, '📋 PRODUCTS'!A:D, 3, FALSE), "")</f>
        <v/>
      </c>
      <c r="E161" s="37"/>
      <c r="F161" s="37" t="str">
        <f>IFERROR(VLOOKUP(B161, '📋 PRODUCTS'!A:D, 4, FALSE), "")</f>
        <v/>
      </c>
      <c r="G161" s="37">
        <f t="shared" si="1"/>
        <v>0</v>
      </c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>
      <c r="A162" s="37"/>
      <c r="B162" s="37"/>
      <c r="C162" s="37" t="str">
        <f>IFERROR(VLOOKUP(B162, '📋 PRODUCTS'!A:D, 2, FALSE), "")</f>
        <v/>
      </c>
      <c r="D162" s="37" t="str">
        <f>IFERROR(VLOOKUP(B162, '📋 PRODUCTS'!A:D, 3, FALSE), "")</f>
        <v/>
      </c>
      <c r="E162" s="37"/>
      <c r="F162" s="37" t="str">
        <f>IFERROR(VLOOKUP(B162, '📋 PRODUCTS'!A:D, 4, FALSE), "")</f>
        <v/>
      </c>
      <c r="G162" s="37">
        <f t="shared" si="1"/>
        <v>0</v>
      </c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>
      <c r="A163" s="37"/>
      <c r="B163" s="37"/>
      <c r="C163" s="37" t="str">
        <f>IFERROR(VLOOKUP(B163, '📋 PRODUCTS'!A:D, 2, FALSE), "")</f>
        <v/>
      </c>
      <c r="D163" s="37" t="str">
        <f>IFERROR(VLOOKUP(B163, '📋 PRODUCTS'!A:D, 3, FALSE), "")</f>
        <v/>
      </c>
      <c r="E163" s="37"/>
      <c r="F163" s="37" t="str">
        <f>IFERROR(VLOOKUP(B163, '📋 PRODUCTS'!A:D, 4, FALSE), "")</f>
        <v/>
      </c>
      <c r="G163" s="37">
        <f t="shared" si="1"/>
        <v>0</v>
      </c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>
      <c r="A164" s="37"/>
      <c r="B164" s="37"/>
      <c r="C164" s="37" t="str">
        <f>IFERROR(VLOOKUP(B164, '📋 PRODUCTS'!A:D, 2, FALSE), "")</f>
        <v/>
      </c>
      <c r="D164" s="37" t="str">
        <f>IFERROR(VLOOKUP(B164, '📋 PRODUCTS'!A:D, 3, FALSE), "")</f>
        <v/>
      </c>
      <c r="E164" s="37"/>
      <c r="F164" s="37" t="str">
        <f>IFERROR(VLOOKUP(B164, '📋 PRODUCTS'!A:D, 4, FALSE), "")</f>
        <v/>
      </c>
      <c r="G164" s="37">
        <f t="shared" si="1"/>
        <v>0</v>
      </c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>
      <c r="A165" s="37"/>
      <c r="B165" s="37"/>
      <c r="C165" s="37" t="str">
        <f>IFERROR(VLOOKUP(B165, '📋 PRODUCTS'!A:D, 2, FALSE), "")</f>
        <v/>
      </c>
      <c r="D165" s="37" t="str">
        <f>IFERROR(VLOOKUP(B165, '📋 PRODUCTS'!A:D, 3, FALSE), "")</f>
        <v/>
      </c>
      <c r="E165" s="37"/>
      <c r="F165" s="37" t="str">
        <f>IFERROR(VLOOKUP(B165, '📋 PRODUCTS'!A:D, 4, FALSE), "")</f>
        <v/>
      </c>
      <c r="G165" s="37">
        <f t="shared" si="1"/>
        <v>0</v>
      </c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>
      <c r="A166" s="37"/>
      <c r="B166" s="37"/>
      <c r="C166" s="37" t="str">
        <f>IFERROR(VLOOKUP(B166, '📋 PRODUCTS'!A:D, 2, FALSE), "")</f>
        <v/>
      </c>
      <c r="D166" s="37" t="str">
        <f>IFERROR(VLOOKUP(B166, '📋 PRODUCTS'!A:D, 3, FALSE), "")</f>
        <v/>
      </c>
      <c r="E166" s="37"/>
      <c r="F166" s="37" t="str">
        <f>IFERROR(VLOOKUP(B166, '📋 PRODUCTS'!A:D, 4, FALSE), "")</f>
        <v/>
      </c>
      <c r="G166" s="37">
        <f t="shared" si="1"/>
        <v>0</v>
      </c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>
      <c r="A167" s="37"/>
      <c r="B167" s="37"/>
      <c r="C167" s="37" t="str">
        <f>IFERROR(VLOOKUP(B167, '📋 PRODUCTS'!A:D, 2, FALSE), "")</f>
        <v/>
      </c>
      <c r="D167" s="37" t="str">
        <f>IFERROR(VLOOKUP(B167, '📋 PRODUCTS'!A:D, 3, FALSE), "")</f>
        <v/>
      </c>
      <c r="E167" s="37"/>
      <c r="F167" s="37" t="str">
        <f>IFERROR(VLOOKUP(B167, '📋 PRODUCTS'!A:D, 4, FALSE), "")</f>
        <v/>
      </c>
      <c r="G167" s="37">
        <f t="shared" si="1"/>
        <v>0</v>
      </c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>
      <c r="A168" s="37"/>
      <c r="B168" s="37"/>
      <c r="C168" s="37" t="str">
        <f>IFERROR(VLOOKUP(B168, '📋 PRODUCTS'!A:D, 2, FALSE), "")</f>
        <v/>
      </c>
      <c r="D168" s="37" t="str">
        <f>IFERROR(VLOOKUP(B168, '📋 PRODUCTS'!A:D, 3, FALSE), "")</f>
        <v/>
      </c>
      <c r="E168" s="37"/>
      <c r="F168" s="37" t="str">
        <f>IFERROR(VLOOKUP(B168, '📋 PRODUCTS'!A:D, 4, FALSE), "")</f>
        <v/>
      </c>
      <c r="G168" s="37">
        <f t="shared" si="1"/>
        <v>0</v>
      </c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>
      <c r="A169" s="37"/>
      <c r="B169" s="37"/>
      <c r="C169" s="37" t="str">
        <f>IFERROR(VLOOKUP(B169, '📋 PRODUCTS'!A:D, 2, FALSE), "")</f>
        <v/>
      </c>
      <c r="D169" s="37" t="str">
        <f>IFERROR(VLOOKUP(B169, '📋 PRODUCTS'!A:D, 3, FALSE), "")</f>
        <v/>
      </c>
      <c r="E169" s="37"/>
      <c r="F169" s="37" t="str">
        <f>IFERROR(VLOOKUP(B169, '📋 PRODUCTS'!A:D, 4, FALSE), "")</f>
        <v/>
      </c>
      <c r="G169" s="37">
        <f t="shared" si="1"/>
        <v>0</v>
      </c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>
      <c r="A170" s="37"/>
      <c r="B170" s="37"/>
      <c r="C170" s="37" t="str">
        <f>IFERROR(VLOOKUP(B170, '📋 PRODUCTS'!A:D, 2, FALSE), "")</f>
        <v/>
      </c>
      <c r="D170" s="37" t="str">
        <f>IFERROR(VLOOKUP(B170, '📋 PRODUCTS'!A:D, 3, FALSE), "")</f>
        <v/>
      </c>
      <c r="E170" s="37"/>
      <c r="F170" s="37" t="str">
        <f>IFERROR(VLOOKUP(B170, '📋 PRODUCTS'!A:D, 4, FALSE), "")</f>
        <v/>
      </c>
      <c r="G170" s="37">
        <f t="shared" si="1"/>
        <v>0</v>
      </c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>
      <c r="A171" s="37"/>
      <c r="B171" s="37"/>
      <c r="C171" s="37" t="str">
        <f>IFERROR(VLOOKUP(B171, '📋 PRODUCTS'!A:D, 2, FALSE), "")</f>
        <v/>
      </c>
      <c r="D171" s="37" t="str">
        <f>IFERROR(VLOOKUP(B171, '📋 PRODUCTS'!A:D, 3, FALSE), "")</f>
        <v/>
      </c>
      <c r="E171" s="37"/>
      <c r="F171" s="37" t="str">
        <f>IFERROR(VLOOKUP(B171, '📋 PRODUCTS'!A:D, 4, FALSE), "")</f>
        <v/>
      </c>
      <c r="G171" s="37">
        <f t="shared" si="1"/>
        <v>0</v>
      </c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>
      <c r="A172" s="37"/>
      <c r="B172" s="37"/>
      <c r="C172" s="37" t="str">
        <f>IFERROR(VLOOKUP(B172, '📋 PRODUCTS'!A:D, 2, FALSE), "")</f>
        <v/>
      </c>
      <c r="D172" s="37" t="str">
        <f>IFERROR(VLOOKUP(B172, '📋 PRODUCTS'!A:D, 3, FALSE), "")</f>
        <v/>
      </c>
      <c r="E172" s="37"/>
      <c r="F172" s="37" t="str">
        <f>IFERROR(VLOOKUP(B172, '📋 PRODUCTS'!A:D, 4, FALSE), "")</f>
        <v/>
      </c>
      <c r="G172" s="37">
        <f t="shared" si="1"/>
        <v>0</v>
      </c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>
      <c r="A173" s="37"/>
      <c r="B173" s="37"/>
      <c r="C173" s="37" t="str">
        <f>IFERROR(VLOOKUP(B173, '📋 PRODUCTS'!A:D, 2, FALSE), "")</f>
        <v/>
      </c>
      <c r="D173" s="37" t="str">
        <f>IFERROR(VLOOKUP(B173, '📋 PRODUCTS'!A:D, 3, FALSE), "")</f>
        <v/>
      </c>
      <c r="E173" s="37"/>
      <c r="F173" s="37" t="str">
        <f>IFERROR(VLOOKUP(B173, '📋 PRODUCTS'!A:D, 4, FALSE), "")</f>
        <v/>
      </c>
      <c r="G173" s="37">
        <f t="shared" si="1"/>
        <v>0</v>
      </c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>
      <c r="A174" s="37"/>
      <c r="B174" s="37"/>
      <c r="C174" s="37" t="str">
        <f>IFERROR(VLOOKUP(B174, '📋 PRODUCTS'!A:D, 2, FALSE), "")</f>
        <v/>
      </c>
      <c r="D174" s="37" t="str">
        <f>IFERROR(VLOOKUP(B174, '📋 PRODUCTS'!A:D, 3, FALSE), "")</f>
        <v/>
      </c>
      <c r="E174" s="37"/>
      <c r="F174" s="37" t="str">
        <f>IFERROR(VLOOKUP(B174, '📋 PRODUCTS'!A:D, 4, FALSE), "")</f>
        <v/>
      </c>
      <c r="G174" s="37">
        <f t="shared" si="1"/>
        <v>0</v>
      </c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>
      <c r="A175" s="37"/>
      <c r="B175" s="37"/>
      <c r="C175" s="37" t="str">
        <f>IFERROR(VLOOKUP(B175, '📋 PRODUCTS'!A:D, 2, FALSE), "")</f>
        <v/>
      </c>
      <c r="D175" s="37" t="str">
        <f>IFERROR(VLOOKUP(B175, '📋 PRODUCTS'!A:D, 3, FALSE), "")</f>
        <v/>
      </c>
      <c r="E175" s="37"/>
      <c r="F175" s="37" t="str">
        <f>IFERROR(VLOOKUP(B175, '📋 PRODUCTS'!A:D, 4, FALSE), "")</f>
        <v/>
      </c>
      <c r="G175" s="37">
        <f t="shared" si="1"/>
        <v>0</v>
      </c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>
      <c r="A176" s="37"/>
      <c r="B176" s="37"/>
      <c r="C176" s="37" t="str">
        <f>IFERROR(VLOOKUP(B176, '📋 PRODUCTS'!A:D, 2, FALSE), "")</f>
        <v/>
      </c>
      <c r="D176" s="37" t="str">
        <f>IFERROR(VLOOKUP(B176, '📋 PRODUCTS'!A:D, 3, FALSE), "")</f>
        <v/>
      </c>
      <c r="E176" s="37"/>
      <c r="F176" s="37" t="str">
        <f>IFERROR(VLOOKUP(B176, '📋 PRODUCTS'!A:D, 4, FALSE), "")</f>
        <v/>
      </c>
      <c r="G176" s="37">
        <f t="shared" si="1"/>
        <v>0</v>
      </c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>
      <c r="A177" s="37"/>
      <c r="B177" s="37"/>
      <c r="C177" s="37" t="str">
        <f>IFERROR(VLOOKUP(B177, '📋 PRODUCTS'!A:D, 2, FALSE), "")</f>
        <v/>
      </c>
      <c r="D177" s="37" t="str">
        <f>IFERROR(VLOOKUP(B177, '📋 PRODUCTS'!A:D, 3, FALSE), "")</f>
        <v/>
      </c>
      <c r="E177" s="37"/>
      <c r="F177" s="37" t="str">
        <f>IFERROR(VLOOKUP(B177, '📋 PRODUCTS'!A:D, 4, FALSE), "")</f>
        <v/>
      </c>
      <c r="G177" s="37">
        <f t="shared" si="1"/>
        <v>0</v>
      </c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>
      <c r="A178" s="37"/>
      <c r="B178" s="37"/>
      <c r="C178" s="37" t="str">
        <f>IFERROR(VLOOKUP(B178, '📋 PRODUCTS'!A:D, 2, FALSE), "")</f>
        <v/>
      </c>
      <c r="D178" s="37" t="str">
        <f>IFERROR(VLOOKUP(B178, '📋 PRODUCTS'!A:D, 3, FALSE), "")</f>
        <v/>
      </c>
      <c r="E178" s="37"/>
      <c r="F178" s="37" t="str">
        <f>IFERROR(VLOOKUP(B178, '📋 PRODUCTS'!A:D, 4, FALSE), "")</f>
        <v/>
      </c>
      <c r="G178" s="37">
        <f t="shared" si="1"/>
        <v>0</v>
      </c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>
      <c r="A179" s="37"/>
      <c r="B179" s="37"/>
      <c r="C179" s="37" t="str">
        <f>IFERROR(VLOOKUP(B179, '📋 PRODUCTS'!A:D, 2, FALSE), "")</f>
        <v/>
      </c>
      <c r="D179" s="37" t="str">
        <f>IFERROR(VLOOKUP(B179, '📋 PRODUCTS'!A:D, 3, FALSE), "")</f>
        <v/>
      </c>
      <c r="E179" s="37"/>
      <c r="F179" s="37" t="str">
        <f>IFERROR(VLOOKUP(B179, '📋 PRODUCTS'!A:D, 4, FALSE), "")</f>
        <v/>
      </c>
      <c r="G179" s="37">
        <f t="shared" si="1"/>
        <v>0</v>
      </c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>
      <c r="A180" s="37"/>
      <c r="B180" s="37"/>
      <c r="C180" s="37" t="str">
        <f>IFERROR(VLOOKUP(B180, '📋 PRODUCTS'!A:D, 2, FALSE), "")</f>
        <v/>
      </c>
      <c r="D180" s="37" t="str">
        <f>IFERROR(VLOOKUP(B180, '📋 PRODUCTS'!A:D, 3, FALSE), "")</f>
        <v/>
      </c>
      <c r="E180" s="37"/>
      <c r="F180" s="37" t="str">
        <f>IFERROR(VLOOKUP(B180, '📋 PRODUCTS'!A:D, 4, FALSE), "")</f>
        <v/>
      </c>
      <c r="G180" s="37">
        <f t="shared" si="1"/>
        <v>0</v>
      </c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>
      <c r="A181" s="37"/>
      <c r="B181" s="37"/>
      <c r="C181" s="37" t="str">
        <f>IFERROR(VLOOKUP(B181, '📋 PRODUCTS'!A:D, 2, FALSE), "")</f>
        <v/>
      </c>
      <c r="D181" s="37" t="str">
        <f>IFERROR(VLOOKUP(B181, '📋 PRODUCTS'!A:D, 3, FALSE), "")</f>
        <v/>
      </c>
      <c r="E181" s="37"/>
      <c r="F181" s="37" t="str">
        <f>IFERROR(VLOOKUP(B181, '📋 PRODUCTS'!A:D, 4, FALSE), "")</f>
        <v/>
      </c>
      <c r="G181" s="37">
        <f t="shared" si="1"/>
        <v>0</v>
      </c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>
      <c r="A182" s="37"/>
      <c r="B182" s="37"/>
      <c r="C182" s="37" t="str">
        <f>IFERROR(VLOOKUP(B182, '📋 PRODUCTS'!A:D, 2, FALSE), "")</f>
        <v/>
      </c>
      <c r="D182" s="37" t="str">
        <f>IFERROR(VLOOKUP(B182, '📋 PRODUCTS'!A:D, 3, FALSE), "")</f>
        <v/>
      </c>
      <c r="E182" s="37"/>
      <c r="F182" s="37" t="str">
        <f>IFERROR(VLOOKUP(B182, '📋 PRODUCTS'!A:D, 4, FALSE), "")</f>
        <v/>
      </c>
      <c r="G182" s="37">
        <f t="shared" si="1"/>
        <v>0</v>
      </c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>
      <c r="A183" s="37"/>
      <c r="B183" s="37"/>
      <c r="C183" s="37" t="str">
        <f>IFERROR(VLOOKUP(B183, '📋 PRODUCTS'!A:D, 2, FALSE), "")</f>
        <v/>
      </c>
      <c r="D183" s="37" t="str">
        <f>IFERROR(VLOOKUP(B183, '📋 PRODUCTS'!A:D, 3, FALSE), "")</f>
        <v/>
      </c>
      <c r="E183" s="37"/>
      <c r="F183" s="37" t="str">
        <f>IFERROR(VLOOKUP(B183, '📋 PRODUCTS'!A:D, 4, FALSE), "")</f>
        <v/>
      </c>
      <c r="G183" s="37">
        <f t="shared" si="1"/>
        <v>0</v>
      </c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>
      <c r="A184" s="37"/>
      <c r="B184" s="37"/>
      <c r="C184" s="37" t="str">
        <f>IFERROR(VLOOKUP(B184, '📋 PRODUCTS'!A:D, 2, FALSE), "")</f>
        <v/>
      </c>
      <c r="D184" s="37" t="str">
        <f>IFERROR(VLOOKUP(B184, '📋 PRODUCTS'!A:D, 3, FALSE), "")</f>
        <v/>
      </c>
      <c r="E184" s="37"/>
      <c r="F184" s="37" t="str">
        <f>IFERROR(VLOOKUP(B184, '📋 PRODUCTS'!A:D, 4, FALSE), "")</f>
        <v/>
      </c>
      <c r="G184" s="37">
        <f t="shared" si="1"/>
        <v>0</v>
      </c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>
      <c r="A185" s="37"/>
      <c r="B185" s="37"/>
      <c r="C185" s="37" t="str">
        <f>IFERROR(VLOOKUP(B185, '📋 PRODUCTS'!A:D, 2, FALSE), "")</f>
        <v/>
      </c>
      <c r="D185" s="37" t="str">
        <f>IFERROR(VLOOKUP(B185, '📋 PRODUCTS'!A:D, 3, FALSE), "")</f>
        <v/>
      </c>
      <c r="E185" s="37"/>
      <c r="F185" s="37" t="str">
        <f>IFERROR(VLOOKUP(B185, '📋 PRODUCTS'!A:D, 4, FALSE), "")</f>
        <v/>
      </c>
      <c r="G185" s="37">
        <f t="shared" si="1"/>
        <v>0</v>
      </c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>
      <c r="A186" s="37"/>
      <c r="B186" s="37"/>
      <c r="C186" s="37" t="str">
        <f>IFERROR(VLOOKUP(B186, '📋 PRODUCTS'!A:D, 2, FALSE), "")</f>
        <v/>
      </c>
      <c r="D186" s="37" t="str">
        <f>IFERROR(VLOOKUP(B186, '📋 PRODUCTS'!A:D, 3, FALSE), "")</f>
        <v/>
      </c>
      <c r="E186" s="37"/>
      <c r="F186" s="37" t="str">
        <f>IFERROR(VLOOKUP(B186, '📋 PRODUCTS'!A:D, 4, FALSE), "")</f>
        <v/>
      </c>
      <c r="G186" s="37">
        <f t="shared" si="1"/>
        <v>0</v>
      </c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>
      <c r="A187" s="37"/>
      <c r="B187" s="37"/>
      <c r="C187" s="37" t="str">
        <f>IFERROR(VLOOKUP(B187, '📋 PRODUCTS'!A:D, 2, FALSE), "")</f>
        <v/>
      </c>
      <c r="D187" s="37" t="str">
        <f>IFERROR(VLOOKUP(B187, '📋 PRODUCTS'!A:D, 3, FALSE), "")</f>
        <v/>
      </c>
      <c r="E187" s="37"/>
      <c r="F187" s="37" t="str">
        <f>IFERROR(VLOOKUP(B187, '📋 PRODUCTS'!A:D, 4, FALSE), "")</f>
        <v/>
      </c>
      <c r="G187" s="37">
        <f t="shared" si="1"/>
        <v>0</v>
      </c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>
      <c r="A188" s="37"/>
      <c r="B188" s="37"/>
      <c r="C188" s="37" t="str">
        <f>IFERROR(VLOOKUP(B188, '📋 PRODUCTS'!A:D, 2, FALSE), "")</f>
        <v/>
      </c>
      <c r="D188" s="37" t="str">
        <f>IFERROR(VLOOKUP(B188, '📋 PRODUCTS'!A:D, 3, FALSE), "")</f>
        <v/>
      </c>
      <c r="E188" s="37"/>
      <c r="F188" s="37" t="str">
        <f>IFERROR(VLOOKUP(B188, '📋 PRODUCTS'!A:D, 4, FALSE), "")</f>
        <v/>
      </c>
      <c r="G188" s="37">
        <f t="shared" si="1"/>
        <v>0</v>
      </c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>
      <c r="A189" s="37"/>
      <c r="B189" s="37"/>
      <c r="C189" s="37" t="str">
        <f>IFERROR(VLOOKUP(B189, '📋 PRODUCTS'!A:D, 2, FALSE), "")</f>
        <v/>
      </c>
      <c r="D189" s="37" t="str">
        <f>IFERROR(VLOOKUP(B189, '📋 PRODUCTS'!A:D, 3, FALSE), "")</f>
        <v/>
      </c>
      <c r="E189" s="37"/>
      <c r="F189" s="37" t="str">
        <f>IFERROR(VLOOKUP(B189, '📋 PRODUCTS'!A:D, 4, FALSE), "")</f>
        <v/>
      </c>
      <c r="G189" s="37">
        <f t="shared" si="1"/>
        <v>0</v>
      </c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>
      <c r="A190" s="37"/>
      <c r="B190" s="37"/>
      <c r="C190" s="37" t="str">
        <f>IFERROR(VLOOKUP(B190, '📋 PRODUCTS'!A:D, 2, FALSE), "")</f>
        <v/>
      </c>
      <c r="D190" s="37" t="str">
        <f>IFERROR(VLOOKUP(B190, '📋 PRODUCTS'!A:D, 3, FALSE), "")</f>
        <v/>
      </c>
      <c r="E190" s="37"/>
      <c r="F190" s="37" t="str">
        <f>IFERROR(VLOOKUP(B190, '📋 PRODUCTS'!A:D, 4, FALSE), "")</f>
        <v/>
      </c>
      <c r="G190" s="37">
        <f t="shared" si="1"/>
        <v>0</v>
      </c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>
      <c r="A191" s="37"/>
      <c r="B191" s="37"/>
      <c r="C191" s="37" t="str">
        <f>IFERROR(VLOOKUP(B191, '📋 PRODUCTS'!A:D, 2, FALSE), "")</f>
        <v/>
      </c>
      <c r="D191" s="37" t="str">
        <f>IFERROR(VLOOKUP(B191, '📋 PRODUCTS'!A:D, 3, FALSE), "")</f>
        <v/>
      </c>
      <c r="E191" s="37"/>
      <c r="F191" s="37" t="str">
        <f>IFERROR(VLOOKUP(B191, '📋 PRODUCTS'!A:D, 4, FALSE), "")</f>
        <v/>
      </c>
      <c r="G191" s="37">
        <f t="shared" si="1"/>
        <v>0</v>
      </c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>
      <c r="A192" s="37"/>
      <c r="B192" s="37"/>
      <c r="C192" s="37" t="str">
        <f>IFERROR(VLOOKUP(B192, '📋 PRODUCTS'!A:D, 2, FALSE), "")</f>
        <v/>
      </c>
      <c r="D192" s="37" t="str">
        <f>IFERROR(VLOOKUP(B192, '📋 PRODUCTS'!A:D, 3, FALSE), "")</f>
        <v/>
      </c>
      <c r="E192" s="37"/>
      <c r="F192" s="37" t="str">
        <f>IFERROR(VLOOKUP(B192, '📋 PRODUCTS'!A:D, 4, FALSE), "")</f>
        <v/>
      </c>
      <c r="G192" s="37">
        <f t="shared" si="1"/>
        <v>0</v>
      </c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>
      <c r="A193" s="37"/>
      <c r="B193" s="37"/>
      <c r="C193" s="37" t="str">
        <f>IFERROR(VLOOKUP(B193, '📋 PRODUCTS'!A:D, 2, FALSE), "")</f>
        <v/>
      </c>
      <c r="D193" s="37" t="str">
        <f>IFERROR(VLOOKUP(B193, '📋 PRODUCTS'!A:D, 3, FALSE), "")</f>
        <v/>
      </c>
      <c r="E193" s="37"/>
      <c r="F193" s="37" t="str">
        <f>IFERROR(VLOOKUP(B193, '📋 PRODUCTS'!A:D, 4, FALSE), "")</f>
        <v/>
      </c>
      <c r="G193" s="37">
        <f t="shared" si="1"/>
        <v>0</v>
      </c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>
      <c r="A194" s="37"/>
      <c r="B194" s="37"/>
      <c r="C194" s="37" t="str">
        <f>IFERROR(VLOOKUP(B194, '📋 PRODUCTS'!A:D, 2, FALSE), "")</f>
        <v/>
      </c>
      <c r="D194" s="37" t="str">
        <f>IFERROR(VLOOKUP(B194, '📋 PRODUCTS'!A:D, 3, FALSE), "")</f>
        <v/>
      </c>
      <c r="E194" s="37"/>
      <c r="F194" s="37" t="str">
        <f>IFERROR(VLOOKUP(B194, '📋 PRODUCTS'!A:D, 4, FALSE), "")</f>
        <v/>
      </c>
      <c r="G194" s="37">
        <f t="shared" si="1"/>
        <v>0</v>
      </c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>
      <c r="A195" s="37"/>
      <c r="B195" s="37"/>
      <c r="C195" s="37" t="str">
        <f>IFERROR(VLOOKUP(B195, '📋 PRODUCTS'!A:D, 2, FALSE), "")</f>
        <v/>
      </c>
      <c r="D195" s="37" t="str">
        <f>IFERROR(VLOOKUP(B195, '📋 PRODUCTS'!A:D, 3, FALSE), "")</f>
        <v/>
      </c>
      <c r="E195" s="37"/>
      <c r="F195" s="37" t="str">
        <f>IFERROR(VLOOKUP(B195, '📋 PRODUCTS'!A:D, 4, FALSE), "")</f>
        <v/>
      </c>
      <c r="G195" s="37">
        <f t="shared" si="1"/>
        <v>0</v>
      </c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>
      <c r="A196" s="37"/>
      <c r="B196" s="37"/>
      <c r="C196" s="37" t="str">
        <f>IFERROR(VLOOKUP(B196, '📋 PRODUCTS'!A:D, 2, FALSE), "")</f>
        <v/>
      </c>
      <c r="D196" s="37" t="str">
        <f>IFERROR(VLOOKUP(B196, '📋 PRODUCTS'!A:D, 3, FALSE), "")</f>
        <v/>
      </c>
      <c r="E196" s="37"/>
      <c r="F196" s="37" t="str">
        <f>IFERROR(VLOOKUP(B196, '📋 PRODUCTS'!A:D, 4, FALSE), "")</f>
        <v/>
      </c>
      <c r="G196" s="37">
        <f t="shared" si="1"/>
        <v>0</v>
      </c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>
      <c r="A197" s="37"/>
      <c r="B197" s="37"/>
      <c r="C197" s="37" t="str">
        <f>IFERROR(VLOOKUP(B197, '📋 PRODUCTS'!A:D, 2, FALSE), "")</f>
        <v/>
      </c>
      <c r="D197" s="37" t="str">
        <f>IFERROR(VLOOKUP(B197, '📋 PRODUCTS'!A:D, 3, FALSE), "")</f>
        <v/>
      </c>
      <c r="E197" s="37"/>
      <c r="F197" s="37" t="str">
        <f>IFERROR(VLOOKUP(B197, '📋 PRODUCTS'!A:D, 4, FALSE), "")</f>
        <v/>
      </c>
      <c r="G197" s="37">
        <f t="shared" si="1"/>
        <v>0</v>
      </c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>
      <c r="A198" s="37"/>
      <c r="B198" s="37"/>
      <c r="C198" s="37" t="str">
        <f>IFERROR(VLOOKUP(B198, '📋 PRODUCTS'!A:D, 2, FALSE), "")</f>
        <v/>
      </c>
      <c r="D198" s="37" t="str">
        <f>IFERROR(VLOOKUP(B198, '📋 PRODUCTS'!A:D, 3, FALSE), "")</f>
        <v/>
      </c>
      <c r="E198" s="37"/>
      <c r="F198" s="37" t="str">
        <f>IFERROR(VLOOKUP(B198, '📋 PRODUCTS'!A:D, 4, FALSE), "")</f>
        <v/>
      </c>
      <c r="G198" s="37">
        <f t="shared" si="1"/>
        <v>0</v>
      </c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>
      <c r="A199" s="37"/>
      <c r="B199" s="37"/>
      <c r="C199" s="37" t="str">
        <f>IFERROR(VLOOKUP(B199, '📋 PRODUCTS'!A:D, 2, FALSE), "")</f>
        <v/>
      </c>
      <c r="D199" s="37" t="str">
        <f>IFERROR(VLOOKUP(B199, '📋 PRODUCTS'!A:D, 3, FALSE), "")</f>
        <v/>
      </c>
      <c r="E199" s="37"/>
      <c r="F199" s="37" t="str">
        <f>IFERROR(VLOOKUP(B199, '📋 PRODUCTS'!A:D, 4, FALSE), "")</f>
        <v/>
      </c>
      <c r="G199" s="37">
        <f t="shared" si="1"/>
        <v>0</v>
      </c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>
      <c r="A200" s="37"/>
      <c r="B200" s="37"/>
      <c r="C200" s="37" t="str">
        <f>IFERROR(VLOOKUP(B200, '📋 PRODUCTS'!A:D, 2, FALSE), "")</f>
        <v/>
      </c>
      <c r="D200" s="37" t="str">
        <f>IFERROR(VLOOKUP(B200, '📋 PRODUCTS'!A:D, 3, FALSE), "")</f>
        <v/>
      </c>
      <c r="E200" s="37"/>
      <c r="F200" s="37" t="str">
        <f>IFERROR(VLOOKUP(B200, '📋 PRODUCTS'!A:D, 4, FALSE), "")</f>
        <v/>
      </c>
      <c r="G200" s="37">
        <f t="shared" si="1"/>
        <v>0</v>
      </c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>
      <c r="A201" s="37"/>
      <c r="B201" s="37"/>
      <c r="C201" s="37" t="str">
        <f>IFERROR(VLOOKUP(B201, '📋 PRODUCTS'!A:D, 2, FALSE), "")</f>
        <v/>
      </c>
      <c r="D201" s="37" t="str">
        <f>IFERROR(VLOOKUP(B201, '📋 PRODUCTS'!A:D, 3, FALSE), "")</f>
        <v/>
      </c>
      <c r="E201" s="37"/>
      <c r="F201" s="37" t="str">
        <f>IFERROR(VLOOKUP(B201, '📋 PRODUCTS'!A:D, 4, FALSE), "")</f>
        <v/>
      </c>
      <c r="G201" s="37">
        <f t="shared" si="1"/>
        <v>0</v>
      </c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>
      <c r="A202" s="37"/>
      <c r="B202" s="37"/>
      <c r="C202" s="37" t="str">
        <f>IFERROR(VLOOKUP(B202, '📋 PRODUCTS'!A:D, 2, FALSE), "")</f>
        <v/>
      </c>
      <c r="D202" s="37" t="str">
        <f>IFERROR(VLOOKUP(B202, '📋 PRODUCTS'!A:D, 3, FALSE), "")</f>
        <v/>
      </c>
      <c r="E202" s="37"/>
      <c r="F202" s="37" t="str">
        <f>IFERROR(VLOOKUP(B202, '📋 PRODUCTS'!A:D, 4, FALSE), "")</f>
        <v/>
      </c>
      <c r="G202" s="37">
        <f t="shared" si="1"/>
        <v>0</v>
      </c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>
      <c r="A203" s="37"/>
      <c r="B203" s="37"/>
      <c r="C203" s="37" t="str">
        <f>IFERROR(VLOOKUP(B203, '📋 PRODUCTS'!A:D, 2, FALSE), "")</f>
        <v/>
      </c>
      <c r="D203" s="37" t="str">
        <f>IFERROR(VLOOKUP(B203, '📋 PRODUCTS'!A:D, 3, FALSE), "")</f>
        <v/>
      </c>
      <c r="E203" s="37"/>
      <c r="F203" s="37" t="str">
        <f>IFERROR(VLOOKUP(B203, '📋 PRODUCTS'!A:D, 4, FALSE), "")</f>
        <v/>
      </c>
      <c r="G203" s="37">
        <f t="shared" si="1"/>
        <v>0</v>
      </c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>
      <c r="A204" s="37"/>
      <c r="B204" s="37"/>
      <c r="C204" s="37" t="str">
        <f>IFERROR(VLOOKUP(B204, '📋 PRODUCTS'!A:D, 2, FALSE), "")</f>
        <v/>
      </c>
      <c r="D204" s="37" t="str">
        <f>IFERROR(VLOOKUP(B204, '📋 PRODUCTS'!A:D, 3, FALSE), "")</f>
        <v/>
      </c>
      <c r="E204" s="37"/>
      <c r="F204" s="37" t="str">
        <f>IFERROR(VLOOKUP(B204, '📋 PRODUCTS'!A:D, 4, FALSE), "")</f>
        <v/>
      </c>
      <c r="G204" s="37">
        <f t="shared" si="1"/>
        <v>0</v>
      </c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>
      <c r="A205" s="37"/>
      <c r="B205" s="37"/>
      <c r="C205" s="37" t="str">
        <f>IFERROR(VLOOKUP(B205, '📋 PRODUCTS'!A:D, 2, FALSE), "")</f>
        <v/>
      </c>
      <c r="D205" s="37" t="str">
        <f>IFERROR(VLOOKUP(B205, '📋 PRODUCTS'!A:D, 3, FALSE), "")</f>
        <v/>
      </c>
      <c r="E205" s="37"/>
      <c r="F205" s="37" t="str">
        <f>IFERROR(VLOOKUP(B205, '📋 PRODUCTS'!A:D, 4, FALSE), "")</f>
        <v/>
      </c>
      <c r="G205" s="37">
        <f t="shared" si="1"/>
        <v>0</v>
      </c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>
      <c r="A206" s="37"/>
      <c r="B206" s="37"/>
      <c r="C206" s="37" t="str">
        <f>IFERROR(VLOOKUP(B206, '📋 PRODUCTS'!A:D, 2, FALSE), "")</f>
        <v/>
      </c>
      <c r="D206" s="37" t="str">
        <f>IFERROR(VLOOKUP(B206, '📋 PRODUCTS'!A:D, 3, FALSE), "")</f>
        <v/>
      </c>
      <c r="E206" s="37"/>
      <c r="F206" s="37" t="str">
        <f>IFERROR(VLOOKUP(B206, '📋 PRODUCTS'!A:D, 4, FALSE), "")</f>
        <v/>
      </c>
      <c r="G206" s="37">
        <f t="shared" si="1"/>
        <v>0</v>
      </c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>
      <c r="A207" s="37"/>
      <c r="B207" s="37"/>
      <c r="C207" s="37" t="str">
        <f>IFERROR(VLOOKUP(B207, '📋 PRODUCTS'!A:D, 2, FALSE), "")</f>
        <v/>
      </c>
      <c r="D207" s="37" t="str">
        <f>IFERROR(VLOOKUP(B207, '📋 PRODUCTS'!A:D, 3, FALSE), "")</f>
        <v/>
      </c>
      <c r="E207" s="37"/>
      <c r="F207" s="37" t="str">
        <f>IFERROR(VLOOKUP(B207, '📋 PRODUCTS'!A:D, 4, FALSE), "")</f>
        <v/>
      </c>
      <c r="G207" s="37">
        <f t="shared" si="1"/>
        <v>0</v>
      </c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>
      <c r="A208" s="37"/>
      <c r="B208" s="37"/>
      <c r="C208" s="37" t="str">
        <f>IFERROR(VLOOKUP(B208, '📋 PRODUCTS'!A:D, 2, FALSE), "")</f>
        <v/>
      </c>
      <c r="D208" s="37" t="str">
        <f>IFERROR(VLOOKUP(B208, '📋 PRODUCTS'!A:D, 3, FALSE), "")</f>
        <v/>
      </c>
      <c r="E208" s="37"/>
      <c r="F208" s="37" t="str">
        <f>IFERROR(VLOOKUP(B208, '📋 PRODUCTS'!A:D, 4, FALSE), "")</f>
        <v/>
      </c>
      <c r="G208" s="37">
        <f t="shared" si="1"/>
        <v>0</v>
      </c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>
      <c r="A209" s="37"/>
      <c r="B209" s="37"/>
      <c r="C209" s="37" t="str">
        <f>IFERROR(VLOOKUP(B209, '📋 PRODUCTS'!A:D, 2, FALSE), "")</f>
        <v/>
      </c>
      <c r="D209" s="37" t="str">
        <f>IFERROR(VLOOKUP(B209, '📋 PRODUCTS'!A:D, 3, FALSE), "")</f>
        <v/>
      </c>
      <c r="E209" s="37"/>
      <c r="F209" s="37" t="str">
        <f>IFERROR(VLOOKUP(B209, '📋 PRODUCTS'!A:D, 4, FALSE), "")</f>
        <v/>
      </c>
      <c r="G209" s="37">
        <f t="shared" si="1"/>
        <v>0</v>
      </c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>
      <c r="A210" s="37"/>
      <c r="B210" s="37"/>
      <c r="C210" s="37" t="str">
        <f>IFERROR(VLOOKUP(B210, '📋 PRODUCTS'!A:D, 2, FALSE), "")</f>
        <v/>
      </c>
      <c r="D210" s="37" t="str">
        <f>IFERROR(VLOOKUP(B210, '📋 PRODUCTS'!A:D, 3, FALSE), "")</f>
        <v/>
      </c>
      <c r="E210" s="37"/>
      <c r="F210" s="37" t="str">
        <f>IFERROR(VLOOKUP(B210, '📋 PRODUCTS'!A:D, 4, FALSE), "")</f>
        <v/>
      </c>
      <c r="G210" s="37">
        <f t="shared" si="1"/>
        <v>0</v>
      </c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>
      <c r="A211" s="37"/>
      <c r="B211" s="37"/>
      <c r="C211" s="37" t="str">
        <f>IFERROR(VLOOKUP(B211, '📋 PRODUCTS'!A:D, 2, FALSE), "")</f>
        <v/>
      </c>
      <c r="D211" s="37" t="str">
        <f>IFERROR(VLOOKUP(B211, '📋 PRODUCTS'!A:D, 3, FALSE), "")</f>
        <v/>
      </c>
      <c r="E211" s="37"/>
      <c r="F211" s="37" t="str">
        <f>IFERROR(VLOOKUP(B211, '📋 PRODUCTS'!A:D, 4, FALSE), "")</f>
        <v/>
      </c>
      <c r="G211" s="37">
        <f t="shared" si="1"/>
        <v>0</v>
      </c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>
      <c r="A212" s="37"/>
      <c r="B212" s="37"/>
      <c r="C212" s="37" t="str">
        <f>IFERROR(VLOOKUP(B212, '📋 PRODUCTS'!A:D, 2, FALSE), "")</f>
        <v/>
      </c>
      <c r="D212" s="37" t="str">
        <f>IFERROR(VLOOKUP(B212, '📋 PRODUCTS'!A:D, 3, FALSE), "")</f>
        <v/>
      </c>
      <c r="E212" s="37"/>
      <c r="F212" s="37" t="str">
        <f>IFERROR(VLOOKUP(B212, '📋 PRODUCTS'!A:D, 4, FALSE), "")</f>
        <v/>
      </c>
      <c r="G212" s="37">
        <f t="shared" si="1"/>
        <v>0</v>
      </c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>
      <c r="A213" s="37"/>
      <c r="B213" s="37"/>
      <c r="C213" s="37" t="str">
        <f>IFERROR(VLOOKUP(B213, '📋 PRODUCTS'!A:D, 2, FALSE), "")</f>
        <v/>
      </c>
      <c r="D213" s="37" t="str">
        <f>IFERROR(VLOOKUP(B213, '📋 PRODUCTS'!A:D, 3, FALSE), "")</f>
        <v/>
      </c>
      <c r="E213" s="37"/>
      <c r="F213" s="37" t="str">
        <f>IFERROR(VLOOKUP(B213, '📋 PRODUCTS'!A:D, 4, FALSE), "")</f>
        <v/>
      </c>
      <c r="G213" s="37">
        <f t="shared" si="1"/>
        <v>0</v>
      </c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>
      <c r="A214" s="37"/>
      <c r="B214" s="37"/>
      <c r="C214" s="37" t="str">
        <f>IFERROR(VLOOKUP(B214, '📋 PRODUCTS'!A:D, 2, FALSE), "")</f>
        <v/>
      </c>
      <c r="D214" s="37" t="str">
        <f>IFERROR(VLOOKUP(B214, '📋 PRODUCTS'!A:D, 3, FALSE), "")</f>
        <v/>
      </c>
      <c r="E214" s="37"/>
      <c r="F214" s="37" t="str">
        <f>IFERROR(VLOOKUP(B214, '📋 PRODUCTS'!A:D, 4, FALSE), "")</f>
        <v/>
      </c>
      <c r="G214" s="37">
        <f t="shared" si="1"/>
        <v>0</v>
      </c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>
      <c r="A215" s="37"/>
      <c r="B215" s="37"/>
      <c r="C215" s="37" t="str">
        <f>IFERROR(VLOOKUP(B215, '📋 PRODUCTS'!A:D, 2, FALSE), "")</f>
        <v/>
      </c>
      <c r="D215" s="37" t="str">
        <f>IFERROR(VLOOKUP(B215, '📋 PRODUCTS'!A:D, 3, FALSE), "")</f>
        <v/>
      </c>
      <c r="E215" s="37"/>
      <c r="F215" s="37" t="str">
        <f>IFERROR(VLOOKUP(B215, '📋 PRODUCTS'!A:D, 4, FALSE), "")</f>
        <v/>
      </c>
      <c r="G215" s="37">
        <f t="shared" si="1"/>
        <v>0</v>
      </c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>
      <c r="A216" s="37"/>
      <c r="B216" s="37"/>
      <c r="C216" s="37" t="str">
        <f>IFERROR(VLOOKUP(B216, '📋 PRODUCTS'!A:D, 2, FALSE), "")</f>
        <v/>
      </c>
      <c r="D216" s="37" t="str">
        <f>IFERROR(VLOOKUP(B216, '📋 PRODUCTS'!A:D, 3, FALSE), "")</f>
        <v/>
      </c>
      <c r="E216" s="37"/>
      <c r="F216" s="37" t="str">
        <f>IFERROR(VLOOKUP(B216, '📋 PRODUCTS'!A:D, 4, FALSE), "")</f>
        <v/>
      </c>
      <c r="G216" s="37">
        <f t="shared" si="1"/>
        <v>0</v>
      </c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>
      <c r="A217" s="37"/>
      <c r="B217" s="37"/>
      <c r="C217" s="37" t="str">
        <f>IFERROR(VLOOKUP(B217, '📋 PRODUCTS'!A:D, 2, FALSE), "")</f>
        <v/>
      </c>
      <c r="D217" s="37" t="str">
        <f>IFERROR(VLOOKUP(B217, '📋 PRODUCTS'!A:D, 3, FALSE), "")</f>
        <v/>
      </c>
      <c r="E217" s="37"/>
      <c r="F217" s="37" t="str">
        <f>IFERROR(VLOOKUP(B217, '📋 PRODUCTS'!A:D, 4, FALSE), "")</f>
        <v/>
      </c>
      <c r="G217" s="37">
        <f t="shared" si="1"/>
        <v>0</v>
      </c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>
      <c r="A218" s="37"/>
      <c r="B218" s="37"/>
      <c r="C218" s="37" t="str">
        <f>IFERROR(VLOOKUP(B218, '📋 PRODUCTS'!A:D, 2, FALSE), "")</f>
        <v/>
      </c>
      <c r="D218" s="37" t="str">
        <f>IFERROR(VLOOKUP(B218, '📋 PRODUCTS'!A:D, 3, FALSE), "")</f>
        <v/>
      </c>
      <c r="E218" s="37"/>
      <c r="F218" s="37" t="str">
        <f>IFERROR(VLOOKUP(B218, '📋 PRODUCTS'!A:D, 4, FALSE), "")</f>
        <v/>
      </c>
      <c r="G218" s="37">
        <f t="shared" si="1"/>
        <v>0</v>
      </c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>
      <c r="A219" s="37"/>
      <c r="B219" s="37"/>
      <c r="C219" s="37" t="str">
        <f>IFERROR(VLOOKUP(B219, '📋 PRODUCTS'!A:D, 2, FALSE), "")</f>
        <v/>
      </c>
      <c r="D219" s="37" t="str">
        <f>IFERROR(VLOOKUP(B219, '📋 PRODUCTS'!A:D, 3, FALSE), "")</f>
        <v/>
      </c>
      <c r="E219" s="37"/>
      <c r="F219" s="37" t="str">
        <f>IFERROR(VLOOKUP(B219, '📋 PRODUCTS'!A:D, 4, FALSE), "")</f>
        <v/>
      </c>
      <c r="G219" s="37">
        <f t="shared" si="1"/>
        <v>0</v>
      </c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>
      <c r="A220" s="37"/>
      <c r="B220" s="37"/>
      <c r="C220" s="37" t="str">
        <f>IFERROR(VLOOKUP(B220, '📋 PRODUCTS'!A:D, 2, FALSE), "")</f>
        <v/>
      </c>
      <c r="D220" s="37" t="str">
        <f>IFERROR(VLOOKUP(B220, '📋 PRODUCTS'!A:D, 3, FALSE), "")</f>
        <v/>
      </c>
      <c r="E220" s="37"/>
      <c r="F220" s="37" t="str">
        <f>IFERROR(VLOOKUP(B220, '📋 PRODUCTS'!A:D, 4, FALSE), "")</f>
        <v/>
      </c>
      <c r="G220" s="37">
        <f t="shared" si="1"/>
        <v>0</v>
      </c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>
      <c r="A221" s="37"/>
      <c r="B221" s="37"/>
      <c r="C221" s="37" t="str">
        <f>IFERROR(VLOOKUP(B221, '📋 PRODUCTS'!A:D, 2, FALSE), "")</f>
        <v/>
      </c>
      <c r="D221" s="37" t="str">
        <f>IFERROR(VLOOKUP(B221, '📋 PRODUCTS'!A:D, 3, FALSE), "")</f>
        <v/>
      </c>
      <c r="E221" s="37"/>
      <c r="F221" s="37" t="str">
        <f>IFERROR(VLOOKUP(B221, '📋 PRODUCTS'!A:D, 4, FALSE), "")</f>
        <v/>
      </c>
      <c r="G221" s="37">
        <f t="shared" si="1"/>
        <v>0</v>
      </c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>
      <c r="A222" s="37"/>
      <c r="B222" s="37"/>
      <c r="C222" s="37" t="str">
        <f>IFERROR(VLOOKUP(B222, '📋 PRODUCTS'!A:D, 2, FALSE), "")</f>
        <v/>
      </c>
      <c r="D222" s="37" t="str">
        <f>IFERROR(VLOOKUP(B222, '📋 PRODUCTS'!A:D, 3, FALSE), "")</f>
        <v/>
      </c>
      <c r="E222" s="37"/>
      <c r="F222" s="37" t="str">
        <f>IFERROR(VLOOKUP(B222, '📋 PRODUCTS'!A:D, 4, FALSE), "")</f>
        <v/>
      </c>
      <c r="G222" s="37">
        <f t="shared" si="1"/>
        <v>0</v>
      </c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>
      <c r="A223" s="37"/>
      <c r="B223" s="37"/>
      <c r="C223" s="37" t="str">
        <f>IFERROR(VLOOKUP(B223, '📋 PRODUCTS'!A:D, 2, FALSE), "")</f>
        <v/>
      </c>
      <c r="D223" s="37" t="str">
        <f>IFERROR(VLOOKUP(B223, '📋 PRODUCTS'!A:D, 3, FALSE), "")</f>
        <v/>
      </c>
      <c r="E223" s="37"/>
      <c r="F223" s="37" t="str">
        <f>IFERROR(VLOOKUP(B223, '📋 PRODUCTS'!A:D, 4, FALSE), "")</f>
        <v/>
      </c>
      <c r="G223" s="37">
        <f t="shared" si="1"/>
        <v>0</v>
      </c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>
      <c r="A224" s="37"/>
      <c r="B224" s="37"/>
      <c r="C224" s="37" t="str">
        <f>IFERROR(VLOOKUP(B224, '📋 PRODUCTS'!A:D, 2, FALSE), "")</f>
        <v/>
      </c>
      <c r="D224" s="37" t="str">
        <f>IFERROR(VLOOKUP(B224, '📋 PRODUCTS'!A:D, 3, FALSE), "")</f>
        <v/>
      </c>
      <c r="E224" s="37"/>
      <c r="F224" s="37" t="str">
        <f>IFERROR(VLOOKUP(B224, '📋 PRODUCTS'!A:D, 4, FALSE), "")</f>
        <v/>
      </c>
      <c r="G224" s="37">
        <f t="shared" si="1"/>
        <v>0</v>
      </c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>
      <c r="A225" s="37"/>
      <c r="B225" s="37"/>
      <c r="C225" s="37" t="str">
        <f>IFERROR(VLOOKUP(B225, '📋 PRODUCTS'!A:D, 2, FALSE), "")</f>
        <v/>
      </c>
      <c r="D225" s="37" t="str">
        <f>IFERROR(VLOOKUP(B225, '📋 PRODUCTS'!A:D, 3, FALSE), "")</f>
        <v/>
      </c>
      <c r="E225" s="37"/>
      <c r="F225" s="37" t="str">
        <f>IFERROR(VLOOKUP(B225, '📋 PRODUCTS'!A:D, 4, FALSE), "")</f>
        <v/>
      </c>
      <c r="G225" s="37">
        <f t="shared" si="1"/>
        <v>0</v>
      </c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>
      <c r="A226" s="37"/>
      <c r="B226" s="37"/>
      <c r="C226" s="37" t="str">
        <f>IFERROR(VLOOKUP(B226, '📋 PRODUCTS'!A:D, 2, FALSE), "")</f>
        <v/>
      </c>
      <c r="D226" s="37" t="str">
        <f>IFERROR(VLOOKUP(B226, '📋 PRODUCTS'!A:D, 3, FALSE), "")</f>
        <v/>
      </c>
      <c r="E226" s="37"/>
      <c r="F226" s="37" t="str">
        <f>IFERROR(VLOOKUP(B226, '📋 PRODUCTS'!A:D, 4, FALSE), "")</f>
        <v/>
      </c>
      <c r="G226" s="37">
        <f t="shared" si="1"/>
        <v>0</v>
      </c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>
      <c r="A227" s="37"/>
      <c r="B227" s="37"/>
      <c r="C227" s="37" t="str">
        <f>IFERROR(VLOOKUP(B227, '📋 PRODUCTS'!A:D, 2, FALSE), "")</f>
        <v/>
      </c>
      <c r="D227" s="37" t="str">
        <f>IFERROR(VLOOKUP(B227, '📋 PRODUCTS'!A:D, 3, FALSE), "")</f>
        <v/>
      </c>
      <c r="E227" s="37"/>
      <c r="F227" s="37" t="str">
        <f>IFERROR(VLOOKUP(B227, '📋 PRODUCTS'!A:D, 4, FALSE), "")</f>
        <v/>
      </c>
      <c r="G227" s="37">
        <f t="shared" si="1"/>
        <v>0</v>
      </c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>
      <c r="A228" s="37"/>
      <c r="B228" s="37"/>
      <c r="C228" s="37" t="str">
        <f>IFERROR(VLOOKUP(B228, '📋 PRODUCTS'!A:D, 2, FALSE), "")</f>
        <v/>
      </c>
      <c r="D228" s="37" t="str">
        <f>IFERROR(VLOOKUP(B228, '📋 PRODUCTS'!A:D, 3, FALSE), "")</f>
        <v/>
      </c>
      <c r="E228" s="37"/>
      <c r="F228" s="37" t="str">
        <f>IFERROR(VLOOKUP(B228, '📋 PRODUCTS'!A:D, 4, FALSE), "")</f>
        <v/>
      </c>
      <c r="G228" s="37">
        <f t="shared" si="1"/>
        <v>0</v>
      </c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>
      <c r="A229" s="37"/>
      <c r="B229" s="37"/>
      <c r="C229" s="37" t="str">
        <f>IFERROR(VLOOKUP(B229, '📋 PRODUCTS'!A:D, 2, FALSE), "")</f>
        <v/>
      </c>
      <c r="D229" s="37" t="str">
        <f>IFERROR(VLOOKUP(B229, '📋 PRODUCTS'!A:D, 3, FALSE), "")</f>
        <v/>
      </c>
      <c r="E229" s="37"/>
      <c r="F229" s="37" t="str">
        <f>IFERROR(VLOOKUP(B229, '📋 PRODUCTS'!A:D, 4, FALSE), "")</f>
        <v/>
      </c>
      <c r="G229" s="37">
        <f t="shared" si="1"/>
        <v>0</v>
      </c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>
      <c r="A230" s="37"/>
      <c r="B230" s="37"/>
      <c r="C230" s="37" t="str">
        <f>IFERROR(VLOOKUP(B230, '📋 PRODUCTS'!A:D, 2, FALSE), "")</f>
        <v/>
      </c>
      <c r="D230" s="37" t="str">
        <f>IFERROR(VLOOKUP(B230, '📋 PRODUCTS'!A:D, 3, FALSE), "")</f>
        <v/>
      </c>
      <c r="E230" s="37"/>
      <c r="F230" s="37" t="str">
        <f>IFERROR(VLOOKUP(B230, '📋 PRODUCTS'!A:D, 4, FALSE), "")</f>
        <v/>
      </c>
      <c r="G230" s="37">
        <f t="shared" si="1"/>
        <v>0</v>
      </c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>
      <c r="A231" s="37"/>
      <c r="B231" s="37"/>
      <c r="C231" s="37" t="str">
        <f>IFERROR(VLOOKUP(B231, '📋 PRODUCTS'!A:D, 2, FALSE), "")</f>
        <v/>
      </c>
      <c r="D231" s="37" t="str">
        <f>IFERROR(VLOOKUP(B231, '📋 PRODUCTS'!A:D, 3, FALSE), "")</f>
        <v/>
      </c>
      <c r="E231" s="37"/>
      <c r="F231" s="37" t="str">
        <f>IFERROR(VLOOKUP(B231, '📋 PRODUCTS'!A:D, 4, FALSE), "")</f>
        <v/>
      </c>
      <c r="G231" s="37">
        <f t="shared" si="1"/>
        <v>0</v>
      </c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>
      <c r="A232" s="37"/>
      <c r="B232" s="37"/>
      <c r="C232" s="37" t="str">
        <f>IFERROR(VLOOKUP(B232, '📋 PRODUCTS'!A:D, 2, FALSE), "")</f>
        <v/>
      </c>
      <c r="D232" s="37" t="str">
        <f>IFERROR(VLOOKUP(B232, '📋 PRODUCTS'!A:D, 3, FALSE), "")</f>
        <v/>
      </c>
      <c r="E232" s="37"/>
      <c r="F232" s="37" t="str">
        <f>IFERROR(VLOOKUP(B232, '📋 PRODUCTS'!A:D, 4, FALSE), "")</f>
        <v/>
      </c>
      <c r="G232" s="37">
        <f t="shared" si="1"/>
        <v>0</v>
      </c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>
      <c r="A233" s="37"/>
      <c r="B233" s="37"/>
      <c r="C233" s="37" t="str">
        <f>IFERROR(VLOOKUP(B233, '📋 PRODUCTS'!A:D, 2, FALSE), "")</f>
        <v/>
      </c>
      <c r="D233" s="37" t="str">
        <f>IFERROR(VLOOKUP(B233, '📋 PRODUCTS'!A:D, 3, FALSE), "")</f>
        <v/>
      </c>
      <c r="E233" s="37"/>
      <c r="F233" s="37" t="str">
        <f>IFERROR(VLOOKUP(B233, '📋 PRODUCTS'!A:D, 4, FALSE), "")</f>
        <v/>
      </c>
      <c r="G233" s="37">
        <f t="shared" si="1"/>
        <v>0</v>
      </c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>
      <c r="A234" s="37"/>
      <c r="B234" s="37"/>
      <c r="C234" s="37" t="str">
        <f>IFERROR(VLOOKUP(B234, '📋 PRODUCTS'!A:D, 2, FALSE), "")</f>
        <v/>
      </c>
      <c r="D234" s="37" t="str">
        <f>IFERROR(VLOOKUP(B234, '📋 PRODUCTS'!A:D, 3, FALSE), "")</f>
        <v/>
      </c>
      <c r="E234" s="37"/>
      <c r="F234" s="37" t="str">
        <f>IFERROR(VLOOKUP(B234, '📋 PRODUCTS'!A:D, 4, FALSE), "")</f>
        <v/>
      </c>
      <c r="G234" s="37">
        <f t="shared" si="1"/>
        <v>0</v>
      </c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>
      <c r="A235" s="37"/>
      <c r="B235" s="37"/>
      <c r="C235" s="37" t="str">
        <f>IFERROR(VLOOKUP(B235, '📋 PRODUCTS'!A:D, 2, FALSE), "")</f>
        <v/>
      </c>
      <c r="D235" s="37" t="str">
        <f>IFERROR(VLOOKUP(B235, '📋 PRODUCTS'!A:D, 3, FALSE), "")</f>
        <v/>
      </c>
      <c r="E235" s="37"/>
      <c r="F235" s="37" t="str">
        <f>IFERROR(VLOOKUP(B235, '📋 PRODUCTS'!A:D, 4, FALSE), "")</f>
        <v/>
      </c>
      <c r="G235" s="37">
        <f t="shared" si="1"/>
        <v>0</v>
      </c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>
      <c r="A236" s="37"/>
      <c r="B236" s="37"/>
      <c r="C236" s="37" t="str">
        <f>IFERROR(VLOOKUP(B236, '📋 PRODUCTS'!A:D, 2, FALSE), "")</f>
        <v/>
      </c>
      <c r="D236" s="37" t="str">
        <f>IFERROR(VLOOKUP(B236, '📋 PRODUCTS'!A:D, 3, FALSE), "")</f>
        <v/>
      </c>
      <c r="E236" s="37"/>
      <c r="F236" s="37" t="str">
        <f>IFERROR(VLOOKUP(B236, '📋 PRODUCTS'!A:D, 4, FALSE), "")</f>
        <v/>
      </c>
      <c r="G236" s="37">
        <f t="shared" si="1"/>
        <v>0</v>
      </c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>
      <c r="A237" s="37"/>
      <c r="B237" s="37"/>
      <c r="C237" s="37" t="str">
        <f>IFERROR(VLOOKUP(B237, '📋 PRODUCTS'!A:D, 2, FALSE), "")</f>
        <v/>
      </c>
      <c r="D237" s="37" t="str">
        <f>IFERROR(VLOOKUP(B237, '📋 PRODUCTS'!A:D, 3, FALSE), "")</f>
        <v/>
      </c>
      <c r="E237" s="37"/>
      <c r="F237" s="37" t="str">
        <f>IFERROR(VLOOKUP(B237, '📋 PRODUCTS'!A:D, 4, FALSE), "")</f>
        <v/>
      </c>
      <c r="G237" s="37">
        <f t="shared" si="1"/>
        <v>0</v>
      </c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>
      <c r="A238" s="37"/>
      <c r="B238" s="37"/>
      <c r="C238" s="37" t="str">
        <f>IFERROR(VLOOKUP(B238, '📋 PRODUCTS'!A:D, 2, FALSE), "")</f>
        <v/>
      </c>
      <c r="D238" s="37" t="str">
        <f>IFERROR(VLOOKUP(B238, '📋 PRODUCTS'!A:D, 3, FALSE), "")</f>
        <v/>
      </c>
      <c r="E238" s="37"/>
      <c r="F238" s="37" t="str">
        <f>IFERROR(VLOOKUP(B238, '📋 PRODUCTS'!A:D, 4, FALSE), "")</f>
        <v/>
      </c>
      <c r="G238" s="37">
        <f t="shared" si="1"/>
        <v>0</v>
      </c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>
      <c r="A239" s="37"/>
      <c r="B239" s="37"/>
      <c r="C239" s="37" t="str">
        <f>IFERROR(VLOOKUP(B239, '📋 PRODUCTS'!A:D, 2, FALSE), "")</f>
        <v/>
      </c>
      <c r="D239" s="37" t="str">
        <f>IFERROR(VLOOKUP(B239, '📋 PRODUCTS'!A:D, 3, FALSE), "")</f>
        <v/>
      </c>
      <c r="E239" s="37"/>
      <c r="F239" s="37" t="str">
        <f>IFERROR(VLOOKUP(B239, '📋 PRODUCTS'!A:D, 4, FALSE), "")</f>
        <v/>
      </c>
      <c r="G239" s="37">
        <f t="shared" si="1"/>
        <v>0</v>
      </c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>
      <c r="A240" s="37"/>
      <c r="B240" s="37"/>
      <c r="C240" s="37" t="str">
        <f>IFERROR(VLOOKUP(B240, '📋 PRODUCTS'!A:D, 2, FALSE), "")</f>
        <v/>
      </c>
      <c r="D240" s="37" t="str">
        <f>IFERROR(VLOOKUP(B240, '📋 PRODUCTS'!A:D, 3, FALSE), "")</f>
        <v/>
      </c>
      <c r="E240" s="37"/>
      <c r="F240" s="37" t="str">
        <f>IFERROR(VLOOKUP(B240, '📋 PRODUCTS'!A:D, 4, FALSE), "")</f>
        <v/>
      </c>
      <c r="G240" s="37">
        <f t="shared" si="1"/>
        <v>0</v>
      </c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>
      <c r="A241" s="37"/>
      <c r="B241" s="37"/>
      <c r="C241" s="37" t="str">
        <f>IFERROR(VLOOKUP(B241, '📋 PRODUCTS'!A:D, 2, FALSE), "")</f>
        <v/>
      </c>
      <c r="D241" s="37" t="str">
        <f>IFERROR(VLOOKUP(B241, '📋 PRODUCTS'!A:D, 3, FALSE), "")</f>
        <v/>
      </c>
      <c r="E241" s="37"/>
      <c r="F241" s="37" t="str">
        <f>IFERROR(VLOOKUP(B241, '📋 PRODUCTS'!A:D, 4, FALSE), "")</f>
        <v/>
      </c>
      <c r="G241" s="37">
        <f t="shared" si="1"/>
        <v>0</v>
      </c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>
      <c r="A242" s="37"/>
      <c r="B242" s="37"/>
      <c r="C242" s="37" t="str">
        <f>IFERROR(VLOOKUP(B242, '📋 PRODUCTS'!A:D, 2, FALSE), "")</f>
        <v/>
      </c>
      <c r="D242" s="37" t="str">
        <f>IFERROR(VLOOKUP(B242, '📋 PRODUCTS'!A:D, 3, FALSE), "")</f>
        <v/>
      </c>
      <c r="E242" s="37"/>
      <c r="F242" s="37" t="str">
        <f>IFERROR(VLOOKUP(B242, '📋 PRODUCTS'!A:D, 4, FALSE), "")</f>
        <v/>
      </c>
      <c r="G242" s="37">
        <f t="shared" si="1"/>
        <v>0</v>
      </c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>
      <c r="A243" s="37"/>
      <c r="B243" s="37"/>
      <c r="C243" s="37" t="str">
        <f>IFERROR(VLOOKUP(B243, '📋 PRODUCTS'!A:D, 2, FALSE), "")</f>
        <v/>
      </c>
      <c r="D243" s="37" t="str">
        <f>IFERROR(VLOOKUP(B243, '📋 PRODUCTS'!A:D, 3, FALSE), "")</f>
        <v/>
      </c>
      <c r="E243" s="37"/>
      <c r="F243" s="37" t="str">
        <f>IFERROR(VLOOKUP(B243, '📋 PRODUCTS'!A:D, 4, FALSE), "")</f>
        <v/>
      </c>
      <c r="G243" s="37">
        <f t="shared" si="1"/>
        <v>0</v>
      </c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>
      <c r="A244" s="37"/>
      <c r="B244" s="37"/>
      <c r="C244" s="37" t="str">
        <f>IFERROR(VLOOKUP(B244, '📋 PRODUCTS'!A:D, 2, FALSE), "")</f>
        <v/>
      </c>
      <c r="D244" s="37" t="str">
        <f>IFERROR(VLOOKUP(B244, '📋 PRODUCTS'!A:D, 3, FALSE), "")</f>
        <v/>
      </c>
      <c r="E244" s="37"/>
      <c r="F244" s="37" t="str">
        <f>IFERROR(VLOOKUP(B244, '📋 PRODUCTS'!A:D, 4, FALSE), "")</f>
        <v/>
      </c>
      <c r="G244" s="37">
        <f t="shared" si="1"/>
        <v>0</v>
      </c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>
      <c r="A245" s="37"/>
      <c r="B245" s="37"/>
      <c r="C245" s="37" t="str">
        <f>IFERROR(VLOOKUP(B245, '📋 PRODUCTS'!A:D, 2, FALSE), "")</f>
        <v/>
      </c>
      <c r="D245" s="37" t="str">
        <f>IFERROR(VLOOKUP(B245, '📋 PRODUCTS'!A:D, 3, FALSE), "")</f>
        <v/>
      </c>
      <c r="E245" s="37"/>
      <c r="F245" s="37" t="str">
        <f>IFERROR(VLOOKUP(B245, '📋 PRODUCTS'!A:D, 4, FALSE), "")</f>
        <v/>
      </c>
      <c r="G245" s="37">
        <f t="shared" si="1"/>
        <v>0</v>
      </c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>
      <c r="A246" s="37"/>
      <c r="B246" s="37"/>
      <c r="C246" s="37" t="str">
        <f>IFERROR(VLOOKUP(B246, '📋 PRODUCTS'!A:D, 2, FALSE), "")</f>
        <v/>
      </c>
      <c r="D246" s="37" t="str">
        <f>IFERROR(VLOOKUP(B246, '📋 PRODUCTS'!A:D, 3, FALSE), "")</f>
        <v/>
      </c>
      <c r="E246" s="37"/>
      <c r="F246" s="37" t="str">
        <f>IFERROR(VLOOKUP(B246, '📋 PRODUCTS'!A:D, 4, FALSE), "")</f>
        <v/>
      </c>
      <c r="G246" s="37">
        <f t="shared" si="1"/>
        <v>0</v>
      </c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>
      <c r="A247" s="37"/>
      <c r="B247" s="37"/>
      <c r="C247" s="37" t="str">
        <f>IFERROR(VLOOKUP(B247, '📋 PRODUCTS'!A:D, 2, FALSE), "")</f>
        <v/>
      </c>
      <c r="D247" s="37" t="str">
        <f>IFERROR(VLOOKUP(B247, '📋 PRODUCTS'!A:D, 3, FALSE), "")</f>
        <v/>
      </c>
      <c r="E247" s="37"/>
      <c r="F247" s="37" t="str">
        <f>IFERROR(VLOOKUP(B247, '📋 PRODUCTS'!A:D, 4, FALSE), "")</f>
        <v/>
      </c>
      <c r="G247" s="37">
        <f t="shared" si="1"/>
        <v>0</v>
      </c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>
      <c r="A248" s="37"/>
      <c r="B248" s="37"/>
      <c r="C248" s="37" t="str">
        <f>IFERROR(VLOOKUP(B248, '📋 PRODUCTS'!A:D, 2, FALSE), "")</f>
        <v/>
      </c>
      <c r="D248" s="37" t="str">
        <f>IFERROR(VLOOKUP(B248, '📋 PRODUCTS'!A:D, 3, FALSE), "")</f>
        <v/>
      </c>
      <c r="E248" s="37"/>
      <c r="F248" s="37" t="str">
        <f>IFERROR(VLOOKUP(B248, '📋 PRODUCTS'!A:D, 4, FALSE), "")</f>
        <v/>
      </c>
      <c r="G248" s="37">
        <f t="shared" si="1"/>
        <v>0</v>
      </c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>
      <c r="A249" s="37"/>
      <c r="B249" s="37"/>
      <c r="C249" s="37" t="str">
        <f>IFERROR(VLOOKUP(B249, '📋 PRODUCTS'!A:D, 2, FALSE), "")</f>
        <v/>
      </c>
      <c r="D249" s="37" t="str">
        <f>IFERROR(VLOOKUP(B249, '📋 PRODUCTS'!A:D, 3, FALSE), "")</f>
        <v/>
      </c>
      <c r="E249" s="37"/>
      <c r="F249" s="37" t="str">
        <f>IFERROR(VLOOKUP(B249, '📋 PRODUCTS'!A:D, 4, FALSE), "")</f>
        <v/>
      </c>
      <c r="G249" s="37">
        <f t="shared" si="1"/>
        <v>0</v>
      </c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>
      <c r="A250" s="37"/>
      <c r="B250" s="37"/>
      <c r="C250" s="37" t="str">
        <f>IFERROR(VLOOKUP(B250, '📋 PRODUCTS'!A:D, 2, FALSE), "")</f>
        <v/>
      </c>
      <c r="D250" s="37" t="str">
        <f>IFERROR(VLOOKUP(B250, '📋 PRODUCTS'!A:D, 3, FALSE), "")</f>
        <v/>
      </c>
      <c r="E250" s="37"/>
      <c r="F250" s="37" t="str">
        <f>IFERROR(VLOOKUP(B250, '📋 PRODUCTS'!A:D, 4, FALSE), "")</f>
        <v/>
      </c>
      <c r="G250" s="37">
        <f t="shared" si="1"/>
        <v>0</v>
      </c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>
      <c r="A251" s="37"/>
      <c r="B251" s="37"/>
      <c r="C251" s="37" t="str">
        <f>IFERROR(VLOOKUP(B251, '📋 PRODUCTS'!A:D, 2, FALSE), "")</f>
        <v/>
      </c>
      <c r="D251" s="37" t="str">
        <f>IFERROR(VLOOKUP(B251, '📋 PRODUCTS'!A:D, 3, FALSE), "")</f>
        <v/>
      </c>
      <c r="E251" s="37"/>
      <c r="F251" s="37" t="str">
        <f>IFERROR(VLOOKUP(B251, '📋 PRODUCTS'!A:D, 4, FALSE), "")</f>
        <v/>
      </c>
      <c r="G251" s="37">
        <f t="shared" si="1"/>
        <v>0</v>
      </c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>
      <c r="A252" s="37"/>
      <c r="B252" s="37"/>
      <c r="C252" s="37" t="str">
        <f>IFERROR(VLOOKUP(B252, '📋 PRODUCTS'!A:D, 2, FALSE), "")</f>
        <v/>
      </c>
      <c r="D252" s="37" t="str">
        <f>IFERROR(VLOOKUP(B252, '📋 PRODUCTS'!A:D, 3, FALSE), "")</f>
        <v/>
      </c>
      <c r="E252" s="37"/>
      <c r="F252" s="37" t="str">
        <f>IFERROR(VLOOKUP(B252, '📋 PRODUCTS'!A:D, 4, FALSE), "")</f>
        <v/>
      </c>
      <c r="G252" s="37">
        <f t="shared" si="1"/>
        <v>0</v>
      </c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>
      <c r="A253" s="37"/>
      <c r="B253" s="37"/>
      <c r="C253" s="37" t="str">
        <f>IFERROR(VLOOKUP(B253, '📋 PRODUCTS'!A:D, 2, FALSE), "")</f>
        <v/>
      </c>
      <c r="D253" s="37" t="str">
        <f>IFERROR(VLOOKUP(B253, '📋 PRODUCTS'!A:D, 3, FALSE), "")</f>
        <v/>
      </c>
      <c r="E253" s="37"/>
      <c r="F253" s="37" t="str">
        <f>IFERROR(VLOOKUP(B253, '📋 PRODUCTS'!A:D, 4, FALSE), "")</f>
        <v/>
      </c>
      <c r="G253" s="37">
        <f t="shared" si="1"/>
        <v>0</v>
      </c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>
      <c r="A254" s="37"/>
      <c r="B254" s="37"/>
      <c r="C254" s="37" t="str">
        <f>IFERROR(VLOOKUP(B254, '📋 PRODUCTS'!A:D, 2, FALSE), "")</f>
        <v/>
      </c>
      <c r="D254" s="37" t="str">
        <f>IFERROR(VLOOKUP(B254, '📋 PRODUCTS'!A:D, 3, FALSE), "")</f>
        <v/>
      </c>
      <c r="E254" s="37"/>
      <c r="F254" s="37" t="str">
        <f>IFERROR(VLOOKUP(B254, '📋 PRODUCTS'!A:D, 4, FALSE), "")</f>
        <v/>
      </c>
      <c r="G254" s="37">
        <f t="shared" si="1"/>
        <v>0</v>
      </c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>
      <c r="A255" s="37"/>
      <c r="B255" s="37"/>
      <c r="C255" s="37" t="str">
        <f>IFERROR(VLOOKUP(B255, '📋 PRODUCTS'!A:D, 2, FALSE), "")</f>
        <v/>
      </c>
      <c r="D255" s="37" t="str">
        <f>IFERROR(VLOOKUP(B255, '📋 PRODUCTS'!A:D, 3, FALSE), "")</f>
        <v/>
      </c>
      <c r="E255" s="37"/>
      <c r="F255" s="37" t="str">
        <f>IFERROR(VLOOKUP(B255, '📋 PRODUCTS'!A:D, 4, FALSE), "")</f>
        <v/>
      </c>
      <c r="G255" s="37">
        <f t="shared" si="1"/>
        <v>0</v>
      </c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>
      <c r="A256" s="37"/>
      <c r="B256" s="37"/>
      <c r="C256" s="37" t="str">
        <f>IFERROR(VLOOKUP(B256, '📋 PRODUCTS'!A:D, 2, FALSE), "")</f>
        <v/>
      </c>
      <c r="D256" s="37" t="str">
        <f>IFERROR(VLOOKUP(B256, '📋 PRODUCTS'!A:D, 3, FALSE), "")</f>
        <v/>
      </c>
      <c r="E256" s="37"/>
      <c r="F256" s="37" t="str">
        <f>IFERROR(VLOOKUP(B256, '📋 PRODUCTS'!A:D, 4, FALSE), "")</f>
        <v/>
      </c>
      <c r="G256" s="37">
        <f t="shared" si="1"/>
        <v>0</v>
      </c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>
      <c r="A257" s="37"/>
      <c r="B257" s="37"/>
      <c r="C257" s="37" t="str">
        <f>IFERROR(VLOOKUP(B257, '📋 PRODUCTS'!A:D, 2, FALSE), "")</f>
        <v/>
      </c>
      <c r="D257" s="37" t="str">
        <f>IFERROR(VLOOKUP(B257, '📋 PRODUCTS'!A:D, 3, FALSE), "")</f>
        <v/>
      </c>
      <c r="E257" s="37"/>
      <c r="F257" s="37" t="str">
        <f>IFERROR(VLOOKUP(B257, '📋 PRODUCTS'!A:D, 4, FALSE), "")</f>
        <v/>
      </c>
      <c r="G257" s="37">
        <f t="shared" si="1"/>
        <v>0</v>
      </c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>
      <c r="A258" s="37"/>
      <c r="B258" s="37"/>
      <c r="C258" s="37" t="str">
        <f>IFERROR(VLOOKUP(B258, '📋 PRODUCTS'!A:D, 2, FALSE), "")</f>
        <v/>
      </c>
      <c r="D258" s="37" t="str">
        <f>IFERROR(VLOOKUP(B258, '📋 PRODUCTS'!A:D, 3, FALSE), "")</f>
        <v/>
      </c>
      <c r="E258" s="37"/>
      <c r="F258" s="37" t="str">
        <f>IFERROR(VLOOKUP(B258, '📋 PRODUCTS'!A:D, 4, FALSE), "")</f>
        <v/>
      </c>
      <c r="G258" s="37">
        <f t="shared" si="1"/>
        <v>0</v>
      </c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>
      <c r="A259" s="37"/>
      <c r="B259" s="37"/>
      <c r="C259" s="37" t="str">
        <f>IFERROR(VLOOKUP(B259, '📋 PRODUCTS'!A:D, 2, FALSE), "")</f>
        <v/>
      </c>
      <c r="D259" s="37" t="str">
        <f>IFERROR(VLOOKUP(B259, '📋 PRODUCTS'!A:D, 3, FALSE), "")</f>
        <v/>
      </c>
      <c r="E259" s="37"/>
      <c r="F259" s="37" t="str">
        <f>IFERROR(VLOOKUP(B259, '📋 PRODUCTS'!A:D, 4, FALSE), "")</f>
        <v/>
      </c>
      <c r="G259" s="37">
        <f t="shared" si="1"/>
        <v>0</v>
      </c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>
      <c r="A260" s="37"/>
      <c r="B260" s="37"/>
      <c r="C260" s="37" t="str">
        <f>IFERROR(VLOOKUP(B260, '📋 PRODUCTS'!A:D, 2, FALSE), "")</f>
        <v/>
      </c>
      <c r="D260" s="37" t="str">
        <f>IFERROR(VLOOKUP(B260, '📋 PRODUCTS'!A:D, 3, FALSE), "")</f>
        <v/>
      </c>
      <c r="E260" s="37"/>
      <c r="F260" s="37" t="str">
        <f>IFERROR(VLOOKUP(B260, '📋 PRODUCTS'!A:D, 4, FALSE), "")</f>
        <v/>
      </c>
      <c r="G260" s="37">
        <f t="shared" si="1"/>
        <v>0</v>
      </c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>
      <c r="A261" s="37"/>
      <c r="B261" s="37"/>
      <c r="C261" s="37" t="str">
        <f>IFERROR(VLOOKUP(B261, '📋 PRODUCTS'!A:D, 2, FALSE), "")</f>
        <v/>
      </c>
      <c r="D261" s="37" t="str">
        <f>IFERROR(VLOOKUP(B261, '📋 PRODUCTS'!A:D, 3, FALSE), "")</f>
        <v/>
      </c>
      <c r="E261" s="37"/>
      <c r="F261" s="37" t="str">
        <f>IFERROR(VLOOKUP(B261, '📋 PRODUCTS'!A:D, 4, FALSE), "")</f>
        <v/>
      </c>
      <c r="G261" s="37">
        <f t="shared" si="1"/>
        <v>0</v>
      </c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>
      <c r="A262" s="37"/>
      <c r="B262" s="37"/>
      <c r="C262" s="37" t="str">
        <f>IFERROR(VLOOKUP(B262, '📋 PRODUCTS'!A:D, 2, FALSE), "")</f>
        <v/>
      </c>
      <c r="D262" s="37" t="str">
        <f>IFERROR(VLOOKUP(B262, '📋 PRODUCTS'!A:D, 3, FALSE), "")</f>
        <v/>
      </c>
      <c r="E262" s="37"/>
      <c r="F262" s="37" t="str">
        <f>IFERROR(VLOOKUP(B262, '📋 PRODUCTS'!A:D, 4, FALSE), "")</f>
        <v/>
      </c>
      <c r="G262" s="37">
        <f t="shared" si="1"/>
        <v>0</v>
      </c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>
      <c r="A263" s="37"/>
      <c r="B263" s="37"/>
      <c r="C263" s="37" t="str">
        <f>IFERROR(VLOOKUP(B263, '📋 PRODUCTS'!A:D, 2, FALSE), "")</f>
        <v/>
      </c>
      <c r="D263" s="37" t="str">
        <f>IFERROR(VLOOKUP(B263, '📋 PRODUCTS'!A:D, 3, FALSE), "")</f>
        <v/>
      </c>
      <c r="E263" s="37"/>
      <c r="F263" s="37" t="str">
        <f>IFERROR(VLOOKUP(B263, '📋 PRODUCTS'!A:D, 4, FALSE), "")</f>
        <v/>
      </c>
      <c r="G263" s="37">
        <f t="shared" si="1"/>
        <v>0</v>
      </c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>
      <c r="A264" s="37"/>
      <c r="B264" s="37"/>
      <c r="C264" s="37" t="str">
        <f>IFERROR(VLOOKUP(B264, '📋 PRODUCTS'!A:D, 2, FALSE), "")</f>
        <v/>
      </c>
      <c r="D264" s="37" t="str">
        <f>IFERROR(VLOOKUP(B264, '📋 PRODUCTS'!A:D, 3, FALSE), "")</f>
        <v/>
      </c>
      <c r="E264" s="37"/>
      <c r="F264" s="37" t="str">
        <f>IFERROR(VLOOKUP(B264, '📋 PRODUCTS'!A:D, 4, FALSE), "")</f>
        <v/>
      </c>
      <c r="G264" s="37">
        <f t="shared" si="1"/>
        <v>0</v>
      </c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>
      <c r="A265" s="37"/>
      <c r="B265" s="37"/>
      <c r="C265" s="37" t="str">
        <f>IFERROR(VLOOKUP(B265, '📋 PRODUCTS'!A:D, 2, FALSE), "")</f>
        <v/>
      </c>
      <c r="D265" s="37" t="str">
        <f>IFERROR(VLOOKUP(B265, '📋 PRODUCTS'!A:D, 3, FALSE), "")</f>
        <v/>
      </c>
      <c r="E265" s="37"/>
      <c r="F265" s="37" t="str">
        <f>IFERROR(VLOOKUP(B265, '📋 PRODUCTS'!A:D, 4, FALSE), "")</f>
        <v/>
      </c>
      <c r="G265" s="37">
        <f t="shared" si="1"/>
        <v>0</v>
      </c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>
      <c r="A266" s="37"/>
      <c r="B266" s="37"/>
      <c r="C266" s="37" t="str">
        <f>IFERROR(VLOOKUP(B266, '📋 PRODUCTS'!A:D, 2, FALSE), "")</f>
        <v/>
      </c>
      <c r="D266" s="37" t="str">
        <f>IFERROR(VLOOKUP(B266, '📋 PRODUCTS'!A:D, 3, FALSE), "")</f>
        <v/>
      </c>
      <c r="E266" s="37"/>
      <c r="F266" s="37" t="str">
        <f>IFERROR(VLOOKUP(B266, '📋 PRODUCTS'!A:D, 4, FALSE), "")</f>
        <v/>
      </c>
      <c r="G266" s="37">
        <f t="shared" si="1"/>
        <v>0</v>
      </c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>
      <c r="A267" s="37"/>
      <c r="B267" s="37"/>
      <c r="C267" s="37" t="str">
        <f>IFERROR(VLOOKUP(B267, '📋 PRODUCTS'!A:D, 2, FALSE), "")</f>
        <v/>
      </c>
      <c r="D267" s="37" t="str">
        <f>IFERROR(VLOOKUP(B267, '📋 PRODUCTS'!A:D, 3, FALSE), "")</f>
        <v/>
      </c>
      <c r="E267" s="37"/>
      <c r="F267" s="37" t="str">
        <f>IFERROR(VLOOKUP(B267, '📋 PRODUCTS'!A:D, 4, FALSE), "")</f>
        <v/>
      </c>
      <c r="G267" s="37">
        <f t="shared" si="1"/>
        <v>0</v>
      </c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>
      <c r="A268" s="37"/>
      <c r="B268" s="37"/>
      <c r="C268" s="37" t="str">
        <f>IFERROR(VLOOKUP(B268, '📋 PRODUCTS'!A:D, 2, FALSE), "")</f>
        <v/>
      </c>
      <c r="D268" s="37" t="str">
        <f>IFERROR(VLOOKUP(B268, '📋 PRODUCTS'!A:D, 3, FALSE), "")</f>
        <v/>
      </c>
      <c r="E268" s="37"/>
      <c r="F268" s="37" t="str">
        <f>IFERROR(VLOOKUP(B268, '📋 PRODUCTS'!A:D, 4, FALSE), "")</f>
        <v/>
      </c>
      <c r="G268" s="37">
        <f t="shared" si="1"/>
        <v>0</v>
      </c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>
      <c r="A269" s="37"/>
      <c r="B269" s="37"/>
      <c r="C269" s="37" t="str">
        <f>IFERROR(VLOOKUP(B269, '📋 PRODUCTS'!A:D, 2, FALSE), "")</f>
        <v/>
      </c>
      <c r="D269" s="37" t="str">
        <f>IFERROR(VLOOKUP(B269, '📋 PRODUCTS'!A:D, 3, FALSE), "")</f>
        <v/>
      </c>
      <c r="E269" s="37"/>
      <c r="F269" s="37" t="str">
        <f>IFERROR(VLOOKUP(B269, '📋 PRODUCTS'!A:D, 4, FALSE), "")</f>
        <v/>
      </c>
      <c r="G269" s="37">
        <f t="shared" si="1"/>
        <v>0</v>
      </c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>
      <c r="A270" s="37"/>
      <c r="B270" s="37"/>
      <c r="C270" s="37" t="str">
        <f>IFERROR(VLOOKUP(B270, '📋 PRODUCTS'!A:D, 2, FALSE), "")</f>
        <v/>
      </c>
      <c r="D270" s="37" t="str">
        <f>IFERROR(VLOOKUP(B270, '📋 PRODUCTS'!A:D, 3, FALSE), "")</f>
        <v/>
      </c>
      <c r="E270" s="37"/>
      <c r="F270" s="37" t="str">
        <f>IFERROR(VLOOKUP(B270, '📋 PRODUCTS'!A:D, 4, FALSE), "")</f>
        <v/>
      </c>
      <c r="G270" s="37">
        <f t="shared" si="1"/>
        <v>0</v>
      </c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>
      <c r="A271" s="37"/>
      <c r="B271" s="37"/>
      <c r="C271" s="37" t="str">
        <f>IFERROR(VLOOKUP(B271, '📋 PRODUCTS'!A:D, 2, FALSE), "")</f>
        <v/>
      </c>
      <c r="D271" s="37" t="str">
        <f>IFERROR(VLOOKUP(B271, '📋 PRODUCTS'!A:D, 3, FALSE), "")</f>
        <v/>
      </c>
      <c r="E271" s="37"/>
      <c r="F271" s="37" t="str">
        <f>IFERROR(VLOOKUP(B271, '📋 PRODUCTS'!A:D, 4, FALSE), "")</f>
        <v/>
      </c>
      <c r="G271" s="37">
        <f t="shared" si="1"/>
        <v>0</v>
      </c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>
      <c r="A272" s="37"/>
      <c r="B272" s="37"/>
      <c r="C272" s="37" t="str">
        <f>IFERROR(VLOOKUP(B272, '📋 PRODUCTS'!A:D, 2, FALSE), "")</f>
        <v/>
      </c>
      <c r="D272" s="37" t="str">
        <f>IFERROR(VLOOKUP(B272, '📋 PRODUCTS'!A:D, 3, FALSE), "")</f>
        <v/>
      </c>
      <c r="E272" s="37"/>
      <c r="F272" s="37" t="str">
        <f>IFERROR(VLOOKUP(B272, '📋 PRODUCTS'!A:D, 4, FALSE), "")</f>
        <v/>
      </c>
      <c r="G272" s="37">
        <f t="shared" si="1"/>
        <v>0</v>
      </c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>
      <c r="A273" s="37"/>
      <c r="B273" s="37"/>
      <c r="C273" s="37" t="str">
        <f>IFERROR(VLOOKUP(B273, '📋 PRODUCTS'!A:D, 2, FALSE), "")</f>
        <v/>
      </c>
      <c r="D273" s="37" t="str">
        <f>IFERROR(VLOOKUP(B273, '📋 PRODUCTS'!A:D, 3, FALSE), "")</f>
        <v/>
      </c>
      <c r="E273" s="37"/>
      <c r="F273" s="37" t="str">
        <f>IFERROR(VLOOKUP(B273, '📋 PRODUCTS'!A:D, 4, FALSE), "")</f>
        <v/>
      </c>
      <c r="G273" s="37">
        <f t="shared" si="1"/>
        <v>0</v>
      </c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>
      <c r="A274" s="37"/>
      <c r="B274" s="37"/>
      <c r="C274" s="37" t="str">
        <f>IFERROR(VLOOKUP(B274, '📋 PRODUCTS'!A:D, 2, FALSE), "")</f>
        <v/>
      </c>
      <c r="D274" s="37" t="str">
        <f>IFERROR(VLOOKUP(B274, '📋 PRODUCTS'!A:D, 3, FALSE), "")</f>
        <v/>
      </c>
      <c r="E274" s="37"/>
      <c r="F274" s="37" t="str">
        <f>IFERROR(VLOOKUP(B274, '📋 PRODUCTS'!A:D, 4, FALSE), "")</f>
        <v/>
      </c>
      <c r="G274" s="37">
        <f t="shared" si="1"/>
        <v>0</v>
      </c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>
      <c r="A275" s="37"/>
      <c r="B275" s="37"/>
      <c r="C275" s="37" t="str">
        <f>IFERROR(VLOOKUP(B275, '📋 PRODUCTS'!A:D, 2, FALSE), "")</f>
        <v/>
      </c>
      <c r="D275" s="37" t="str">
        <f>IFERROR(VLOOKUP(B275, '📋 PRODUCTS'!A:D, 3, FALSE), "")</f>
        <v/>
      </c>
      <c r="E275" s="37"/>
      <c r="F275" s="37" t="str">
        <f>IFERROR(VLOOKUP(B275, '📋 PRODUCTS'!A:D, 4, FALSE), "")</f>
        <v/>
      </c>
      <c r="G275" s="37">
        <f t="shared" si="1"/>
        <v>0</v>
      </c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>
      <c r="A276" s="37"/>
      <c r="B276" s="37"/>
      <c r="C276" s="37" t="str">
        <f>IFERROR(VLOOKUP(B276, '📋 PRODUCTS'!A:D, 2, FALSE), "")</f>
        <v/>
      </c>
      <c r="D276" s="37" t="str">
        <f>IFERROR(VLOOKUP(B276, '📋 PRODUCTS'!A:D, 3, FALSE), "")</f>
        <v/>
      </c>
      <c r="E276" s="37"/>
      <c r="F276" s="37" t="str">
        <f>IFERROR(VLOOKUP(B276, '📋 PRODUCTS'!A:D, 4, FALSE), "")</f>
        <v/>
      </c>
      <c r="G276" s="37">
        <f t="shared" si="1"/>
        <v>0</v>
      </c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>
      <c r="A277" s="37"/>
      <c r="B277" s="37"/>
      <c r="C277" s="37" t="str">
        <f>IFERROR(VLOOKUP(B277, '📋 PRODUCTS'!A:D, 2, FALSE), "")</f>
        <v/>
      </c>
      <c r="D277" s="37" t="str">
        <f>IFERROR(VLOOKUP(B277, '📋 PRODUCTS'!A:D, 3, FALSE), "")</f>
        <v/>
      </c>
      <c r="E277" s="37"/>
      <c r="F277" s="37" t="str">
        <f>IFERROR(VLOOKUP(B277, '📋 PRODUCTS'!A:D, 4, FALSE), "")</f>
        <v/>
      </c>
      <c r="G277" s="37">
        <f t="shared" si="1"/>
        <v>0</v>
      </c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>
      <c r="A278" s="37"/>
      <c r="B278" s="37"/>
      <c r="C278" s="37" t="str">
        <f>IFERROR(VLOOKUP(B278, '📋 PRODUCTS'!A:D, 2, FALSE), "")</f>
        <v/>
      </c>
      <c r="D278" s="37" t="str">
        <f>IFERROR(VLOOKUP(B278, '📋 PRODUCTS'!A:D, 3, FALSE), "")</f>
        <v/>
      </c>
      <c r="E278" s="37"/>
      <c r="F278" s="37" t="str">
        <f>IFERROR(VLOOKUP(B278, '📋 PRODUCTS'!A:D, 4, FALSE), "")</f>
        <v/>
      </c>
      <c r="G278" s="37">
        <f t="shared" si="1"/>
        <v>0</v>
      </c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>
      <c r="A279" s="37"/>
      <c r="B279" s="37"/>
      <c r="C279" s="37" t="str">
        <f>IFERROR(VLOOKUP(B279, '📋 PRODUCTS'!A:D, 2, FALSE), "")</f>
        <v/>
      </c>
      <c r="D279" s="37" t="str">
        <f>IFERROR(VLOOKUP(B279, '📋 PRODUCTS'!A:D, 3, FALSE), "")</f>
        <v/>
      </c>
      <c r="E279" s="37"/>
      <c r="F279" s="37" t="str">
        <f>IFERROR(VLOOKUP(B279, '📋 PRODUCTS'!A:D, 4, FALSE), "")</f>
        <v/>
      </c>
      <c r="G279" s="37">
        <f t="shared" si="1"/>
        <v>0</v>
      </c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>
      <c r="A280" s="37"/>
      <c r="B280" s="37"/>
      <c r="C280" s="37" t="str">
        <f>IFERROR(VLOOKUP(B280, '📋 PRODUCTS'!A:D, 2, FALSE), "")</f>
        <v/>
      </c>
      <c r="D280" s="37" t="str">
        <f>IFERROR(VLOOKUP(B280, '📋 PRODUCTS'!A:D, 3, FALSE), "")</f>
        <v/>
      </c>
      <c r="E280" s="37"/>
      <c r="F280" s="37" t="str">
        <f>IFERROR(VLOOKUP(B280, '📋 PRODUCTS'!A:D, 4, FALSE), "")</f>
        <v/>
      </c>
      <c r="G280" s="37">
        <f t="shared" si="1"/>
        <v>0</v>
      </c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>
      <c r="A281" s="37"/>
      <c r="B281" s="37"/>
      <c r="C281" s="37" t="str">
        <f>IFERROR(VLOOKUP(B281, '📋 PRODUCTS'!A:D, 2, FALSE), "")</f>
        <v/>
      </c>
      <c r="D281" s="37" t="str">
        <f>IFERROR(VLOOKUP(B281, '📋 PRODUCTS'!A:D, 3, FALSE), "")</f>
        <v/>
      </c>
      <c r="E281" s="37"/>
      <c r="F281" s="37" t="str">
        <f>IFERROR(VLOOKUP(B281, '📋 PRODUCTS'!A:D, 4, FALSE), "")</f>
        <v/>
      </c>
      <c r="G281" s="37">
        <f t="shared" si="1"/>
        <v>0</v>
      </c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>
      <c r="A282" s="37"/>
      <c r="B282" s="37"/>
      <c r="C282" s="37" t="str">
        <f>IFERROR(VLOOKUP(B282, '📋 PRODUCTS'!A:D, 2, FALSE), "")</f>
        <v/>
      </c>
      <c r="D282" s="37" t="str">
        <f>IFERROR(VLOOKUP(B282, '📋 PRODUCTS'!A:D, 3, FALSE), "")</f>
        <v/>
      </c>
      <c r="E282" s="37"/>
      <c r="F282" s="37" t="str">
        <f>IFERROR(VLOOKUP(B282, '📋 PRODUCTS'!A:D, 4, FALSE), "")</f>
        <v/>
      </c>
      <c r="G282" s="37">
        <f t="shared" si="1"/>
        <v>0</v>
      </c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>
      <c r="A283" s="37"/>
      <c r="B283" s="37"/>
      <c r="C283" s="37" t="str">
        <f>IFERROR(VLOOKUP(B283, '📋 PRODUCTS'!A:D, 2, FALSE), "")</f>
        <v/>
      </c>
      <c r="D283" s="37" t="str">
        <f>IFERROR(VLOOKUP(B283, '📋 PRODUCTS'!A:D, 3, FALSE), "")</f>
        <v/>
      </c>
      <c r="E283" s="37"/>
      <c r="F283" s="37" t="str">
        <f>IFERROR(VLOOKUP(B283, '📋 PRODUCTS'!A:D, 4, FALSE), "")</f>
        <v/>
      </c>
      <c r="G283" s="37">
        <f t="shared" si="1"/>
        <v>0</v>
      </c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>
      <c r="A284" s="37"/>
      <c r="B284" s="37"/>
      <c r="C284" s="37" t="str">
        <f>IFERROR(VLOOKUP(B284, '📋 PRODUCTS'!A:D, 2, FALSE), "")</f>
        <v/>
      </c>
      <c r="D284" s="37" t="str">
        <f>IFERROR(VLOOKUP(B284, '📋 PRODUCTS'!A:D, 3, FALSE), "")</f>
        <v/>
      </c>
      <c r="E284" s="37"/>
      <c r="F284" s="37" t="str">
        <f>IFERROR(VLOOKUP(B284, '📋 PRODUCTS'!A:D, 4, FALSE), "")</f>
        <v/>
      </c>
      <c r="G284" s="37">
        <f t="shared" si="1"/>
        <v>0</v>
      </c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>
      <c r="A285" s="37"/>
      <c r="B285" s="37"/>
      <c r="C285" s="37" t="str">
        <f>IFERROR(VLOOKUP(B285, '📋 PRODUCTS'!A:D, 2, FALSE), "")</f>
        <v/>
      </c>
      <c r="D285" s="37" t="str">
        <f>IFERROR(VLOOKUP(B285, '📋 PRODUCTS'!A:D, 3, FALSE), "")</f>
        <v/>
      </c>
      <c r="E285" s="37"/>
      <c r="F285" s="37" t="str">
        <f>IFERROR(VLOOKUP(B285, '📋 PRODUCTS'!A:D, 4, FALSE), "")</f>
        <v/>
      </c>
      <c r="G285" s="37">
        <f t="shared" si="1"/>
        <v>0</v>
      </c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>
      <c r="A286" s="37"/>
      <c r="B286" s="37"/>
      <c r="C286" s="37" t="str">
        <f>IFERROR(VLOOKUP(B286, '📋 PRODUCTS'!A:D, 2, FALSE), "")</f>
        <v/>
      </c>
      <c r="D286" s="37" t="str">
        <f>IFERROR(VLOOKUP(B286, '📋 PRODUCTS'!A:D, 3, FALSE), "")</f>
        <v/>
      </c>
      <c r="E286" s="37"/>
      <c r="F286" s="37" t="str">
        <f>IFERROR(VLOOKUP(B286, '📋 PRODUCTS'!A:D, 4, FALSE), "")</f>
        <v/>
      </c>
      <c r="G286" s="37">
        <f t="shared" si="1"/>
        <v>0</v>
      </c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>
      <c r="A287" s="37"/>
      <c r="B287" s="37"/>
      <c r="C287" s="37" t="str">
        <f>IFERROR(VLOOKUP(B287, '📋 PRODUCTS'!A:D, 2, FALSE), "")</f>
        <v/>
      </c>
      <c r="D287" s="37" t="str">
        <f>IFERROR(VLOOKUP(B287, '📋 PRODUCTS'!A:D, 3, FALSE), "")</f>
        <v/>
      </c>
      <c r="E287" s="37"/>
      <c r="F287" s="37" t="str">
        <f>IFERROR(VLOOKUP(B287, '📋 PRODUCTS'!A:D, 4, FALSE), "")</f>
        <v/>
      </c>
      <c r="G287" s="37">
        <f t="shared" si="1"/>
        <v>0</v>
      </c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>
      <c r="A288" s="37"/>
      <c r="B288" s="37"/>
      <c r="C288" s="37" t="str">
        <f>IFERROR(VLOOKUP(B288, '📋 PRODUCTS'!A:D, 2, FALSE), "")</f>
        <v/>
      </c>
      <c r="D288" s="37" t="str">
        <f>IFERROR(VLOOKUP(B288, '📋 PRODUCTS'!A:D, 3, FALSE), "")</f>
        <v/>
      </c>
      <c r="E288" s="37"/>
      <c r="F288" s="37" t="str">
        <f>IFERROR(VLOOKUP(B288, '📋 PRODUCTS'!A:D, 4, FALSE), "")</f>
        <v/>
      </c>
      <c r="G288" s="37">
        <f t="shared" si="1"/>
        <v>0</v>
      </c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>
      <c r="A289" s="37"/>
      <c r="B289" s="37"/>
      <c r="C289" s="37" t="str">
        <f>IFERROR(VLOOKUP(B289, '📋 PRODUCTS'!A:D, 2, FALSE), "")</f>
        <v/>
      </c>
      <c r="D289" s="37" t="str">
        <f>IFERROR(VLOOKUP(B289, '📋 PRODUCTS'!A:D, 3, FALSE), "")</f>
        <v/>
      </c>
      <c r="E289" s="37"/>
      <c r="F289" s="37" t="str">
        <f>IFERROR(VLOOKUP(B289, '📋 PRODUCTS'!A:D, 4, FALSE), "")</f>
        <v/>
      </c>
      <c r="G289" s="37">
        <f t="shared" si="1"/>
        <v>0</v>
      </c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>
      <c r="A290" s="37"/>
      <c r="B290" s="37"/>
      <c r="C290" s="37" t="str">
        <f>IFERROR(VLOOKUP(B290, '📋 PRODUCTS'!A:D, 2, FALSE), "")</f>
        <v/>
      </c>
      <c r="D290" s="37" t="str">
        <f>IFERROR(VLOOKUP(B290, '📋 PRODUCTS'!A:D, 3, FALSE), "")</f>
        <v/>
      </c>
      <c r="E290" s="37"/>
      <c r="F290" s="37" t="str">
        <f>IFERROR(VLOOKUP(B290, '📋 PRODUCTS'!A:D, 4, FALSE), "")</f>
        <v/>
      </c>
      <c r="G290" s="37">
        <f t="shared" si="1"/>
        <v>0</v>
      </c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>
      <c r="A291" s="37"/>
      <c r="B291" s="37"/>
      <c r="C291" s="37" t="str">
        <f>IFERROR(VLOOKUP(B291, '📋 PRODUCTS'!A:D, 2, FALSE), "")</f>
        <v/>
      </c>
      <c r="D291" s="37" t="str">
        <f>IFERROR(VLOOKUP(B291, '📋 PRODUCTS'!A:D, 3, FALSE), "")</f>
        <v/>
      </c>
      <c r="E291" s="37"/>
      <c r="F291" s="37" t="str">
        <f>IFERROR(VLOOKUP(B291, '📋 PRODUCTS'!A:D, 4, FALSE), "")</f>
        <v/>
      </c>
      <c r="G291" s="37">
        <f t="shared" si="1"/>
        <v>0</v>
      </c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>
      <c r="A292" s="37"/>
      <c r="B292" s="37"/>
      <c r="C292" s="37" t="str">
        <f>IFERROR(VLOOKUP(B292, '📋 PRODUCTS'!A:D, 2, FALSE), "")</f>
        <v/>
      </c>
      <c r="D292" s="37" t="str">
        <f>IFERROR(VLOOKUP(B292, '📋 PRODUCTS'!A:D, 3, FALSE), "")</f>
        <v/>
      </c>
      <c r="E292" s="37"/>
      <c r="F292" s="37" t="str">
        <f>IFERROR(VLOOKUP(B292, '📋 PRODUCTS'!A:D, 4, FALSE), "")</f>
        <v/>
      </c>
      <c r="G292" s="37">
        <f t="shared" si="1"/>
        <v>0</v>
      </c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>
      <c r="A293" s="37"/>
      <c r="B293" s="37"/>
      <c r="C293" s="37" t="str">
        <f>IFERROR(VLOOKUP(B293, '📋 PRODUCTS'!A:D, 2, FALSE), "")</f>
        <v/>
      </c>
      <c r="D293" s="37" t="str">
        <f>IFERROR(VLOOKUP(B293, '📋 PRODUCTS'!A:D, 3, FALSE), "")</f>
        <v/>
      </c>
      <c r="E293" s="37"/>
      <c r="F293" s="37" t="str">
        <f>IFERROR(VLOOKUP(B293, '📋 PRODUCTS'!A:D, 4, FALSE), "")</f>
        <v/>
      </c>
      <c r="G293" s="37">
        <f t="shared" si="1"/>
        <v>0</v>
      </c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>
      <c r="A294" s="37"/>
      <c r="B294" s="37"/>
      <c r="C294" s="37" t="str">
        <f>IFERROR(VLOOKUP(B294, '📋 PRODUCTS'!A:D, 2, FALSE), "")</f>
        <v/>
      </c>
      <c r="D294" s="37" t="str">
        <f>IFERROR(VLOOKUP(B294, '📋 PRODUCTS'!A:D, 3, FALSE), "")</f>
        <v/>
      </c>
      <c r="E294" s="37"/>
      <c r="F294" s="37" t="str">
        <f>IFERROR(VLOOKUP(B294, '📋 PRODUCTS'!A:D, 4, FALSE), "")</f>
        <v/>
      </c>
      <c r="G294" s="37">
        <f t="shared" si="1"/>
        <v>0</v>
      </c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>
      <c r="A295" s="37"/>
      <c r="B295" s="37"/>
      <c r="C295" s="37" t="str">
        <f>IFERROR(VLOOKUP(B295, '📋 PRODUCTS'!A:D, 2, FALSE), "")</f>
        <v/>
      </c>
      <c r="D295" s="37" t="str">
        <f>IFERROR(VLOOKUP(B295, '📋 PRODUCTS'!A:D, 3, FALSE), "")</f>
        <v/>
      </c>
      <c r="E295" s="37"/>
      <c r="F295" s="37" t="str">
        <f>IFERROR(VLOOKUP(B295, '📋 PRODUCTS'!A:D, 4, FALSE), "")</f>
        <v/>
      </c>
      <c r="G295" s="37">
        <f t="shared" si="1"/>
        <v>0</v>
      </c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>
      <c r="A296" s="37"/>
      <c r="B296" s="37"/>
      <c r="C296" s="37" t="str">
        <f>IFERROR(VLOOKUP(B296, '📋 PRODUCTS'!A:D, 2, FALSE), "")</f>
        <v/>
      </c>
      <c r="D296" s="37" t="str">
        <f>IFERROR(VLOOKUP(B296, '📋 PRODUCTS'!A:D, 3, FALSE), "")</f>
        <v/>
      </c>
      <c r="E296" s="37"/>
      <c r="F296" s="37" t="str">
        <f>IFERROR(VLOOKUP(B296, '📋 PRODUCTS'!A:D, 4, FALSE), "")</f>
        <v/>
      </c>
      <c r="G296" s="37">
        <f t="shared" si="1"/>
        <v>0</v>
      </c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>
      <c r="A297" s="37"/>
      <c r="B297" s="37"/>
      <c r="C297" s="37" t="str">
        <f>IFERROR(VLOOKUP(B297, '📋 PRODUCTS'!A:D, 2, FALSE), "")</f>
        <v/>
      </c>
      <c r="D297" s="37" t="str">
        <f>IFERROR(VLOOKUP(B297, '📋 PRODUCTS'!A:D, 3, FALSE), "")</f>
        <v/>
      </c>
      <c r="E297" s="37"/>
      <c r="F297" s="37" t="str">
        <f>IFERROR(VLOOKUP(B297, '📋 PRODUCTS'!A:D, 4, FALSE), "")</f>
        <v/>
      </c>
      <c r="G297" s="37">
        <f t="shared" si="1"/>
        <v>0</v>
      </c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>
      <c r="A298" s="37"/>
      <c r="B298" s="37"/>
      <c r="C298" s="37" t="str">
        <f>IFERROR(VLOOKUP(B298, '📋 PRODUCTS'!A:D, 2, FALSE), "")</f>
        <v/>
      </c>
      <c r="D298" s="37" t="str">
        <f>IFERROR(VLOOKUP(B298, '📋 PRODUCTS'!A:D, 3, FALSE), "")</f>
        <v/>
      </c>
      <c r="E298" s="37"/>
      <c r="F298" s="37" t="str">
        <f>IFERROR(VLOOKUP(B298, '📋 PRODUCTS'!A:D, 4, FALSE), "")</f>
        <v/>
      </c>
      <c r="G298" s="37">
        <f t="shared" si="1"/>
        <v>0</v>
      </c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>
      <c r="A299" s="37"/>
      <c r="B299" s="37"/>
      <c r="C299" s="37" t="str">
        <f>IFERROR(VLOOKUP(B299, '📋 PRODUCTS'!A:D, 2, FALSE), "")</f>
        <v/>
      </c>
      <c r="D299" s="37" t="str">
        <f>IFERROR(VLOOKUP(B299, '📋 PRODUCTS'!A:D, 3, FALSE), "")</f>
        <v/>
      </c>
      <c r="E299" s="37"/>
      <c r="F299" s="37" t="str">
        <f>IFERROR(VLOOKUP(B299, '📋 PRODUCTS'!A:D, 4, FALSE), "")</f>
        <v/>
      </c>
      <c r="G299" s="37">
        <f t="shared" si="1"/>
        <v>0</v>
      </c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>
      <c r="A300" s="37"/>
      <c r="B300" s="37"/>
      <c r="C300" s="37" t="str">
        <f>IFERROR(VLOOKUP(B300, '📋 PRODUCTS'!A:D, 2, FALSE), "")</f>
        <v/>
      </c>
      <c r="D300" s="37" t="str">
        <f>IFERROR(VLOOKUP(B300, '📋 PRODUCTS'!A:D, 3, FALSE), "")</f>
        <v/>
      </c>
      <c r="E300" s="37"/>
      <c r="F300" s="37" t="str">
        <f>IFERROR(VLOOKUP(B300, '📋 PRODUCTS'!A:D, 4, FALSE), "")</f>
        <v/>
      </c>
      <c r="G300" s="37">
        <f t="shared" si="1"/>
        <v>0</v>
      </c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>
      <c r="A301" s="37"/>
      <c r="B301" s="37"/>
      <c r="C301" s="37" t="str">
        <f>IFERROR(VLOOKUP(B301, '📋 PRODUCTS'!A:D, 2, FALSE), "")</f>
        <v/>
      </c>
      <c r="D301" s="37" t="str">
        <f>IFERROR(VLOOKUP(B301, '📋 PRODUCTS'!A:D, 3, FALSE), "")</f>
        <v/>
      </c>
      <c r="E301" s="37"/>
      <c r="F301" s="37" t="str">
        <f>IFERROR(VLOOKUP(B301, '📋 PRODUCTS'!A:D, 4, FALSE), "")</f>
        <v/>
      </c>
      <c r="G301" s="37">
        <f t="shared" si="1"/>
        <v>0</v>
      </c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>
      <c r="A302" s="37"/>
      <c r="B302" s="37"/>
      <c r="C302" s="37" t="str">
        <f>IFERROR(VLOOKUP(B302, '📋 PRODUCTS'!A:D, 2, FALSE), "")</f>
        <v/>
      </c>
      <c r="D302" s="37" t="str">
        <f>IFERROR(VLOOKUP(B302, '📋 PRODUCTS'!A:D, 3, FALSE), "")</f>
        <v/>
      </c>
      <c r="E302" s="37"/>
      <c r="F302" s="37" t="str">
        <f>IFERROR(VLOOKUP(B302, '📋 PRODUCTS'!A:D, 4, FALSE), "")</f>
        <v/>
      </c>
      <c r="G302" s="37">
        <f t="shared" si="1"/>
        <v>0</v>
      </c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>
      <c r="A303" s="37"/>
      <c r="B303" s="37"/>
      <c r="C303" s="37" t="str">
        <f>IFERROR(VLOOKUP(B303, '📋 PRODUCTS'!A:D, 2, FALSE), "")</f>
        <v/>
      </c>
      <c r="D303" s="37" t="str">
        <f>IFERROR(VLOOKUP(B303, '📋 PRODUCTS'!A:D, 3, FALSE), "")</f>
        <v/>
      </c>
      <c r="E303" s="37"/>
      <c r="F303" s="37" t="str">
        <f>IFERROR(VLOOKUP(B303, '📋 PRODUCTS'!A:D, 4, FALSE), "")</f>
        <v/>
      </c>
      <c r="G303" s="37">
        <f t="shared" si="1"/>
        <v>0</v>
      </c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>
      <c r="A304" s="37"/>
      <c r="B304" s="37"/>
      <c r="C304" s="37" t="str">
        <f>IFERROR(VLOOKUP(B304, '📋 PRODUCTS'!A:D, 2, FALSE), "")</f>
        <v/>
      </c>
      <c r="D304" s="37" t="str">
        <f>IFERROR(VLOOKUP(B304, '📋 PRODUCTS'!A:D, 3, FALSE), "")</f>
        <v/>
      </c>
      <c r="E304" s="37"/>
      <c r="F304" s="37" t="str">
        <f>IFERROR(VLOOKUP(B304, '📋 PRODUCTS'!A:D, 4, FALSE), "")</f>
        <v/>
      </c>
      <c r="G304" s="37">
        <f t="shared" si="1"/>
        <v>0</v>
      </c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>
      <c r="A305" s="37"/>
      <c r="B305" s="37"/>
      <c r="C305" s="37" t="str">
        <f>IFERROR(VLOOKUP(B305, '📋 PRODUCTS'!A:D, 2, FALSE), "")</f>
        <v/>
      </c>
      <c r="D305" s="37" t="str">
        <f>IFERROR(VLOOKUP(B305, '📋 PRODUCTS'!A:D, 3, FALSE), "")</f>
        <v/>
      </c>
      <c r="E305" s="37"/>
      <c r="F305" s="37" t="str">
        <f>IFERROR(VLOOKUP(B305, '📋 PRODUCTS'!A:D, 4, FALSE), "")</f>
        <v/>
      </c>
      <c r="G305" s="37">
        <f t="shared" si="1"/>
        <v>0</v>
      </c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>
      <c r="A306" s="37"/>
      <c r="B306" s="37"/>
      <c r="C306" s="37" t="str">
        <f>IFERROR(VLOOKUP(B306, '📋 PRODUCTS'!A:D, 2, FALSE), "")</f>
        <v/>
      </c>
      <c r="D306" s="37" t="str">
        <f>IFERROR(VLOOKUP(B306, '📋 PRODUCTS'!A:D, 3, FALSE), "")</f>
        <v/>
      </c>
      <c r="E306" s="37"/>
      <c r="F306" s="37" t="str">
        <f>IFERROR(VLOOKUP(B306, '📋 PRODUCTS'!A:D, 4, FALSE), "")</f>
        <v/>
      </c>
      <c r="G306" s="37">
        <f t="shared" si="1"/>
        <v>0</v>
      </c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>
      <c r="A307" s="37"/>
      <c r="B307" s="37"/>
      <c r="C307" s="37" t="str">
        <f>IFERROR(VLOOKUP(B307, '📋 PRODUCTS'!A:D, 2, FALSE), "")</f>
        <v/>
      </c>
      <c r="D307" s="37" t="str">
        <f>IFERROR(VLOOKUP(B307, '📋 PRODUCTS'!A:D, 3, FALSE), "")</f>
        <v/>
      </c>
      <c r="E307" s="37"/>
      <c r="F307" s="37" t="str">
        <f>IFERROR(VLOOKUP(B307, '📋 PRODUCTS'!A:D, 4, FALSE), "")</f>
        <v/>
      </c>
      <c r="G307" s="37">
        <f t="shared" si="1"/>
        <v>0</v>
      </c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>
      <c r="A308" s="37"/>
      <c r="B308" s="37"/>
      <c r="C308" s="37" t="str">
        <f>IFERROR(VLOOKUP(B308, '📋 PRODUCTS'!A:D, 2, FALSE), "")</f>
        <v/>
      </c>
      <c r="D308" s="37" t="str">
        <f>IFERROR(VLOOKUP(B308, '📋 PRODUCTS'!A:D, 3, FALSE), "")</f>
        <v/>
      </c>
      <c r="E308" s="37"/>
      <c r="F308" s="37" t="str">
        <f>IFERROR(VLOOKUP(B308, '📋 PRODUCTS'!A:D, 4, FALSE), "")</f>
        <v/>
      </c>
      <c r="G308" s="37">
        <f t="shared" si="1"/>
        <v>0</v>
      </c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>
      <c r="A309" s="37"/>
      <c r="B309" s="37"/>
      <c r="C309" s="37" t="str">
        <f>IFERROR(VLOOKUP(B309, '📋 PRODUCTS'!A:D, 2, FALSE), "")</f>
        <v/>
      </c>
      <c r="D309" s="37" t="str">
        <f>IFERROR(VLOOKUP(B309, '📋 PRODUCTS'!A:D, 3, FALSE), "")</f>
        <v/>
      </c>
      <c r="E309" s="37"/>
      <c r="F309" s="37" t="str">
        <f>IFERROR(VLOOKUP(B309, '📋 PRODUCTS'!A:D, 4, FALSE), "")</f>
        <v/>
      </c>
      <c r="G309" s="37">
        <f t="shared" si="1"/>
        <v>0</v>
      </c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>
      <c r="A310" s="37"/>
      <c r="B310" s="37"/>
      <c r="C310" s="37" t="str">
        <f>IFERROR(VLOOKUP(B310, '📋 PRODUCTS'!A:D, 2, FALSE), "")</f>
        <v/>
      </c>
      <c r="D310" s="37" t="str">
        <f>IFERROR(VLOOKUP(B310, '📋 PRODUCTS'!A:D, 3, FALSE), "")</f>
        <v/>
      </c>
      <c r="E310" s="37"/>
      <c r="F310" s="37" t="str">
        <f>IFERROR(VLOOKUP(B310, '📋 PRODUCTS'!A:D, 4, FALSE), "")</f>
        <v/>
      </c>
      <c r="G310" s="37">
        <f t="shared" si="1"/>
        <v>0</v>
      </c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>
      <c r="A311" s="37"/>
      <c r="B311" s="37"/>
      <c r="C311" s="37" t="str">
        <f>IFERROR(VLOOKUP(B311, '📋 PRODUCTS'!A:D, 2, FALSE), "")</f>
        <v/>
      </c>
      <c r="D311" s="37" t="str">
        <f>IFERROR(VLOOKUP(B311, '📋 PRODUCTS'!A:D, 3, FALSE), "")</f>
        <v/>
      </c>
      <c r="E311" s="37"/>
      <c r="F311" s="37" t="str">
        <f>IFERROR(VLOOKUP(B311, '📋 PRODUCTS'!A:D, 4, FALSE), "")</f>
        <v/>
      </c>
      <c r="G311" s="37">
        <f t="shared" si="1"/>
        <v>0</v>
      </c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>
      <c r="A312" s="37"/>
      <c r="B312" s="37"/>
      <c r="C312" s="37" t="str">
        <f>IFERROR(VLOOKUP(B312, '📋 PRODUCTS'!A:D, 2, FALSE), "")</f>
        <v/>
      </c>
      <c r="D312" s="37" t="str">
        <f>IFERROR(VLOOKUP(B312, '📋 PRODUCTS'!A:D, 3, FALSE), "")</f>
        <v/>
      </c>
      <c r="E312" s="37"/>
      <c r="F312" s="37" t="str">
        <f>IFERROR(VLOOKUP(B312, '📋 PRODUCTS'!A:D, 4, FALSE), "")</f>
        <v/>
      </c>
      <c r="G312" s="37">
        <f t="shared" si="1"/>
        <v>0</v>
      </c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>
      <c r="A313" s="37"/>
      <c r="B313" s="37"/>
      <c r="C313" s="37" t="str">
        <f>IFERROR(VLOOKUP(B313, '📋 PRODUCTS'!A:D, 2, FALSE), "")</f>
        <v/>
      </c>
      <c r="D313" s="37" t="str">
        <f>IFERROR(VLOOKUP(B313, '📋 PRODUCTS'!A:D, 3, FALSE), "")</f>
        <v/>
      </c>
      <c r="E313" s="37"/>
      <c r="F313" s="37" t="str">
        <f>IFERROR(VLOOKUP(B313, '📋 PRODUCTS'!A:D, 4, FALSE), "")</f>
        <v/>
      </c>
      <c r="G313" s="37">
        <f t="shared" si="1"/>
        <v>0</v>
      </c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>
      <c r="A314" s="37"/>
      <c r="B314" s="37"/>
      <c r="C314" s="37" t="str">
        <f>IFERROR(VLOOKUP(B314, '📋 PRODUCTS'!A:D, 2, FALSE), "")</f>
        <v/>
      </c>
      <c r="D314" s="37" t="str">
        <f>IFERROR(VLOOKUP(B314, '📋 PRODUCTS'!A:D, 3, FALSE), "")</f>
        <v/>
      </c>
      <c r="E314" s="37"/>
      <c r="F314" s="37" t="str">
        <f>IFERROR(VLOOKUP(B314, '📋 PRODUCTS'!A:D, 4, FALSE), "")</f>
        <v/>
      </c>
      <c r="G314" s="37">
        <f t="shared" si="1"/>
        <v>0</v>
      </c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>
      <c r="A315" s="37"/>
      <c r="B315" s="37"/>
      <c r="C315" s="37" t="str">
        <f>IFERROR(VLOOKUP(B315, '📋 PRODUCTS'!A:D, 2, FALSE), "")</f>
        <v/>
      </c>
      <c r="D315" s="37" t="str">
        <f>IFERROR(VLOOKUP(B315, '📋 PRODUCTS'!A:D, 3, FALSE), "")</f>
        <v/>
      </c>
      <c r="E315" s="37"/>
      <c r="F315" s="37" t="str">
        <f>IFERROR(VLOOKUP(B315, '📋 PRODUCTS'!A:D, 4, FALSE), "")</f>
        <v/>
      </c>
      <c r="G315" s="37">
        <f t="shared" si="1"/>
        <v>0</v>
      </c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>
      <c r="A316" s="37"/>
      <c r="B316" s="37"/>
      <c r="C316" s="37" t="str">
        <f>IFERROR(VLOOKUP(B316, '📋 PRODUCTS'!A:D, 2, FALSE), "")</f>
        <v/>
      </c>
      <c r="D316" s="37" t="str">
        <f>IFERROR(VLOOKUP(B316, '📋 PRODUCTS'!A:D, 3, FALSE), "")</f>
        <v/>
      </c>
      <c r="E316" s="37"/>
      <c r="F316" s="37" t="str">
        <f>IFERROR(VLOOKUP(B316, '📋 PRODUCTS'!A:D, 4, FALSE), "")</f>
        <v/>
      </c>
      <c r="G316" s="37">
        <f t="shared" si="1"/>
        <v>0</v>
      </c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>
      <c r="A317" s="37"/>
      <c r="B317" s="37"/>
      <c r="C317" s="37" t="str">
        <f>IFERROR(VLOOKUP(B317, '📋 PRODUCTS'!A:D, 2, FALSE), "")</f>
        <v/>
      </c>
      <c r="D317" s="37" t="str">
        <f>IFERROR(VLOOKUP(B317, '📋 PRODUCTS'!A:D, 3, FALSE), "")</f>
        <v/>
      </c>
      <c r="E317" s="37"/>
      <c r="F317" s="37" t="str">
        <f>IFERROR(VLOOKUP(B317, '📋 PRODUCTS'!A:D, 4, FALSE), "")</f>
        <v/>
      </c>
      <c r="G317" s="37">
        <f t="shared" si="1"/>
        <v>0</v>
      </c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>
      <c r="A318" s="37"/>
      <c r="B318" s="37"/>
      <c r="C318" s="37" t="str">
        <f>IFERROR(VLOOKUP(B318, '📋 PRODUCTS'!A:D, 2, FALSE), "")</f>
        <v/>
      </c>
      <c r="D318" s="37" t="str">
        <f>IFERROR(VLOOKUP(B318, '📋 PRODUCTS'!A:D, 3, FALSE), "")</f>
        <v/>
      </c>
      <c r="E318" s="37"/>
      <c r="F318" s="37" t="str">
        <f>IFERROR(VLOOKUP(B318, '📋 PRODUCTS'!A:D, 4, FALSE), "")</f>
        <v/>
      </c>
      <c r="G318" s="37">
        <f t="shared" si="1"/>
        <v>0</v>
      </c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>
      <c r="A319" s="37"/>
      <c r="B319" s="37"/>
      <c r="C319" s="37" t="str">
        <f>IFERROR(VLOOKUP(B319, '📋 PRODUCTS'!A:D, 2, FALSE), "")</f>
        <v/>
      </c>
      <c r="D319" s="37" t="str">
        <f>IFERROR(VLOOKUP(B319, '📋 PRODUCTS'!A:D, 3, FALSE), "")</f>
        <v/>
      </c>
      <c r="E319" s="37"/>
      <c r="F319" s="37" t="str">
        <f>IFERROR(VLOOKUP(B319, '📋 PRODUCTS'!A:D, 4, FALSE), "")</f>
        <v/>
      </c>
      <c r="G319" s="37">
        <f t="shared" si="1"/>
        <v>0</v>
      </c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>
      <c r="A320" s="37"/>
      <c r="B320" s="37"/>
      <c r="C320" s="37" t="str">
        <f>IFERROR(VLOOKUP(B320, '📋 PRODUCTS'!A:D, 2, FALSE), "")</f>
        <v/>
      </c>
      <c r="D320" s="37" t="str">
        <f>IFERROR(VLOOKUP(B320, '📋 PRODUCTS'!A:D, 3, FALSE), "")</f>
        <v/>
      </c>
      <c r="E320" s="37"/>
      <c r="F320" s="37" t="str">
        <f>IFERROR(VLOOKUP(B320, '📋 PRODUCTS'!A:D, 4, FALSE), "")</f>
        <v/>
      </c>
      <c r="G320" s="37">
        <f t="shared" si="1"/>
        <v>0</v>
      </c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>
      <c r="A321" s="37"/>
      <c r="B321" s="37"/>
      <c r="C321" s="37" t="str">
        <f>IFERROR(VLOOKUP(B321, '📋 PRODUCTS'!A:D, 2, FALSE), "")</f>
        <v/>
      </c>
      <c r="D321" s="37" t="str">
        <f>IFERROR(VLOOKUP(B321, '📋 PRODUCTS'!A:D, 3, FALSE), "")</f>
        <v/>
      </c>
      <c r="E321" s="37"/>
      <c r="F321" s="37" t="str">
        <f>IFERROR(VLOOKUP(B321, '📋 PRODUCTS'!A:D, 4, FALSE), "")</f>
        <v/>
      </c>
      <c r="G321" s="37">
        <f t="shared" si="1"/>
        <v>0</v>
      </c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>
      <c r="A322" s="37"/>
      <c r="B322" s="37"/>
      <c r="C322" s="37" t="str">
        <f>IFERROR(VLOOKUP(B322, '📋 PRODUCTS'!A:D, 2, FALSE), "")</f>
        <v/>
      </c>
      <c r="D322" s="37" t="str">
        <f>IFERROR(VLOOKUP(B322, '📋 PRODUCTS'!A:D, 3, FALSE), "")</f>
        <v/>
      </c>
      <c r="E322" s="37"/>
      <c r="F322" s="37" t="str">
        <f>IFERROR(VLOOKUP(B322, '📋 PRODUCTS'!A:D, 4, FALSE), "")</f>
        <v/>
      </c>
      <c r="G322" s="37">
        <f t="shared" si="1"/>
        <v>0</v>
      </c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>
      <c r="A323" s="37"/>
      <c r="B323" s="37"/>
      <c r="C323" s="37" t="str">
        <f>IFERROR(VLOOKUP(B323, '📋 PRODUCTS'!A:D, 2, FALSE), "")</f>
        <v/>
      </c>
      <c r="D323" s="37" t="str">
        <f>IFERROR(VLOOKUP(B323, '📋 PRODUCTS'!A:D, 3, FALSE), "")</f>
        <v/>
      </c>
      <c r="E323" s="37"/>
      <c r="F323" s="37" t="str">
        <f>IFERROR(VLOOKUP(B323, '📋 PRODUCTS'!A:D, 4, FALSE), "")</f>
        <v/>
      </c>
      <c r="G323" s="37">
        <f t="shared" si="1"/>
        <v>0</v>
      </c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>
      <c r="A324" s="37"/>
      <c r="B324" s="37"/>
      <c r="C324" s="37" t="str">
        <f>IFERROR(VLOOKUP(B324, '📋 PRODUCTS'!A:D, 2, FALSE), "")</f>
        <v/>
      </c>
      <c r="D324" s="37" t="str">
        <f>IFERROR(VLOOKUP(B324, '📋 PRODUCTS'!A:D, 3, FALSE), "")</f>
        <v/>
      </c>
      <c r="E324" s="37"/>
      <c r="F324" s="37" t="str">
        <f>IFERROR(VLOOKUP(B324, '📋 PRODUCTS'!A:D, 4, FALSE), "")</f>
        <v/>
      </c>
      <c r="G324" s="37">
        <f t="shared" si="1"/>
        <v>0</v>
      </c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>
      <c r="A325" s="37"/>
      <c r="B325" s="37"/>
      <c r="C325" s="37" t="str">
        <f>IFERROR(VLOOKUP(B325, '📋 PRODUCTS'!A:D, 2, FALSE), "")</f>
        <v/>
      </c>
      <c r="D325" s="37" t="str">
        <f>IFERROR(VLOOKUP(B325, '📋 PRODUCTS'!A:D, 3, FALSE), "")</f>
        <v/>
      </c>
      <c r="E325" s="37"/>
      <c r="F325" s="37" t="str">
        <f>IFERROR(VLOOKUP(B325, '📋 PRODUCTS'!A:D, 4, FALSE), "")</f>
        <v/>
      </c>
      <c r="G325" s="37">
        <f t="shared" si="1"/>
        <v>0</v>
      </c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>
      <c r="A326" s="37"/>
      <c r="B326" s="37"/>
      <c r="C326" s="37" t="str">
        <f>IFERROR(VLOOKUP(B326, '📋 PRODUCTS'!A:D, 2, FALSE), "")</f>
        <v/>
      </c>
      <c r="D326" s="37" t="str">
        <f>IFERROR(VLOOKUP(B326, '📋 PRODUCTS'!A:D, 3, FALSE), "")</f>
        <v/>
      </c>
      <c r="E326" s="37"/>
      <c r="F326" s="37" t="str">
        <f>IFERROR(VLOOKUP(B326, '📋 PRODUCTS'!A:D, 4, FALSE), "")</f>
        <v/>
      </c>
      <c r="G326" s="37">
        <f t="shared" si="1"/>
        <v>0</v>
      </c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>
      <c r="A327" s="37"/>
      <c r="B327" s="37"/>
      <c r="C327" s="37" t="str">
        <f>IFERROR(VLOOKUP(B327, '📋 PRODUCTS'!A:D, 2, FALSE), "")</f>
        <v/>
      </c>
      <c r="D327" s="37" t="str">
        <f>IFERROR(VLOOKUP(B327, '📋 PRODUCTS'!A:D, 3, FALSE), "")</f>
        <v/>
      </c>
      <c r="E327" s="37"/>
      <c r="F327" s="37" t="str">
        <f>IFERROR(VLOOKUP(B327, '📋 PRODUCTS'!A:D, 4, FALSE), "")</f>
        <v/>
      </c>
      <c r="G327" s="37">
        <f t="shared" si="1"/>
        <v>0</v>
      </c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>
      <c r="A328" s="37"/>
      <c r="B328" s="37"/>
      <c r="C328" s="37" t="str">
        <f>IFERROR(VLOOKUP(B328, '📋 PRODUCTS'!A:D, 2, FALSE), "")</f>
        <v/>
      </c>
      <c r="D328" s="37" t="str">
        <f>IFERROR(VLOOKUP(B328, '📋 PRODUCTS'!A:D, 3, FALSE), "")</f>
        <v/>
      </c>
      <c r="E328" s="37"/>
      <c r="F328" s="37" t="str">
        <f>IFERROR(VLOOKUP(B328, '📋 PRODUCTS'!A:D, 4, FALSE), "")</f>
        <v/>
      </c>
      <c r="G328" s="37">
        <f t="shared" si="1"/>
        <v>0</v>
      </c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>
      <c r="A329" s="37"/>
      <c r="B329" s="37"/>
      <c r="C329" s="37" t="str">
        <f>IFERROR(VLOOKUP(B329, '📋 PRODUCTS'!A:D, 2, FALSE), "")</f>
        <v/>
      </c>
      <c r="D329" s="37" t="str">
        <f>IFERROR(VLOOKUP(B329, '📋 PRODUCTS'!A:D, 3, FALSE), "")</f>
        <v/>
      </c>
      <c r="E329" s="37"/>
      <c r="F329" s="37" t="str">
        <f>IFERROR(VLOOKUP(B329, '📋 PRODUCTS'!A:D, 4, FALSE), "")</f>
        <v/>
      </c>
      <c r="G329" s="37">
        <f t="shared" si="1"/>
        <v>0</v>
      </c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>
      <c r="A330" s="37"/>
      <c r="B330" s="37"/>
      <c r="C330" s="37" t="str">
        <f>IFERROR(VLOOKUP(B330, '📋 PRODUCTS'!A:D, 2, FALSE), "")</f>
        <v/>
      </c>
      <c r="D330" s="37" t="str">
        <f>IFERROR(VLOOKUP(B330, '📋 PRODUCTS'!A:D, 3, FALSE), "")</f>
        <v/>
      </c>
      <c r="E330" s="37"/>
      <c r="F330" s="37" t="str">
        <f>IFERROR(VLOOKUP(B330, '📋 PRODUCTS'!A:D, 4, FALSE), "")</f>
        <v/>
      </c>
      <c r="G330" s="37">
        <f t="shared" si="1"/>
        <v>0</v>
      </c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>
      <c r="A331" s="37"/>
      <c r="B331" s="37"/>
      <c r="C331" s="37" t="str">
        <f>IFERROR(VLOOKUP(B331, '📋 PRODUCTS'!A:D, 2, FALSE), "")</f>
        <v/>
      </c>
      <c r="D331" s="37" t="str">
        <f>IFERROR(VLOOKUP(B331, '📋 PRODUCTS'!A:D, 3, FALSE), "")</f>
        <v/>
      </c>
      <c r="E331" s="37"/>
      <c r="F331" s="37" t="str">
        <f>IFERROR(VLOOKUP(B331, '📋 PRODUCTS'!A:D, 4, FALSE), "")</f>
        <v/>
      </c>
      <c r="G331" s="37">
        <f t="shared" si="1"/>
        <v>0</v>
      </c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>
      <c r="A332" s="37"/>
      <c r="B332" s="37"/>
      <c r="C332" s="37" t="str">
        <f>IFERROR(VLOOKUP(B332, '📋 PRODUCTS'!A:D, 2, FALSE), "")</f>
        <v/>
      </c>
      <c r="D332" s="37" t="str">
        <f>IFERROR(VLOOKUP(B332, '📋 PRODUCTS'!A:D, 3, FALSE), "")</f>
        <v/>
      </c>
      <c r="E332" s="37"/>
      <c r="F332" s="37" t="str">
        <f>IFERROR(VLOOKUP(B332, '📋 PRODUCTS'!A:D, 4, FALSE), "")</f>
        <v/>
      </c>
      <c r="G332" s="37">
        <f t="shared" si="1"/>
        <v>0</v>
      </c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>
      <c r="A333" s="37"/>
      <c r="B333" s="37"/>
      <c r="C333" s="37" t="str">
        <f>IFERROR(VLOOKUP(B333, '📋 PRODUCTS'!A:D, 2, FALSE), "")</f>
        <v/>
      </c>
      <c r="D333" s="37" t="str">
        <f>IFERROR(VLOOKUP(B333, '📋 PRODUCTS'!A:D, 3, FALSE), "")</f>
        <v/>
      </c>
      <c r="E333" s="37"/>
      <c r="F333" s="37" t="str">
        <f>IFERROR(VLOOKUP(B333, '📋 PRODUCTS'!A:D, 4, FALSE), "")</f>
        <v/>
      </c>
      <c r="G333" s="37">
        <f t="shared" si="1"/>
        <v>0</v>
      </c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>
      <c r="A334" s="37"/>
      <c r="B334" s="37"/>
      <c r="C334" s="37" t="str">
        <f>IFERROR(VLOOKUP(B334, '📋 PRODUCTS'!A:D, 2, FALSE), "")</f>
        <v/>
      </c>
      <c r="D334" s="37" t="str">
        <f>IFERROR(VLOOKUP(B334, '📋 PRODUCTS'!A:D, 3, FALSE), "")</f>
        <v/>
      </c>
      <c r="E334" s="37"/>
      <c r="F334" s="37" t="str">
        <f>IFERROR(VLOOKUP(B334, '📋 PRODUCTS'!A:D, 4, FALSE), "")</f>
        <v/>
      </c>
      <c r="G334" s="37">
        <f t="shared" si="1"/>
        <v>0</v>
      </c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>
      <c r="A335" s="37"/>
      <c r="B335" s="37"/>
      <c r="C335" s="37" t="str">
        <f>IFERROR(VLOOKUP(B335, '📋 PRODUCTS'!A:D, 2, FALSE), "")</f>
        <v/>
      </c>
      <c r="D335" s="37" t="str">
        <f>IFERROR(VLOOKUP(B335, '📋 PRODUCTS'!A:D, 3, FALSE), "")</f>
        <v/>
      </c>
      <c r="E335" s="37"/>
      <c r="F335" s="37" t="str">
        <f>IFERROR(VLOOKUP(B335, '📋 PRODUCTS'!A:D, 4, FALSE), "")</f>
        <v/>
      </c>
      <c r="G335" s="37">
        <f t="shared" si="1"/>
        <v>0</v>
      </c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>
      <c r="A336" s="37"/>
      <c r="B336" s="37"/>
      <c r="C336" s="37" t="str">
        <f>IFERROR(VLOOKUP(B336, '📋 PRODUCTS'!A:D, 2, FALSE), "")</f>
        <v/>
      </c>
      <c r="D336" s="37" t="str">
        <f>IFERROR(VLOOKUP(B336, '📋 PRODUCTS'!A:D, 3, FALSE), "")</f>
        <v/>
      </c>
      <c r="E336" s="37"/>
      <c r="F336" s="37" t="str">
        <f>IFERROR(VLOOKUP(B336, '📋 PRODUCTS'!A:D, 4, FALSE), "")</f>
        <v/>
      </c>
      <c r="G336" s="37">
        <f t="shared" si="1"/>
        <v>0</v>
      </c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>
      <c r="A337" s="37"/>
      <c r="B337" s="37"/>
      <c r="C337" s="37" t="str">
        <f>IFERROR(VLOOKUP(B337, '📋 PRODUCTS'!A:D, 2, FALSE), "")</f>
        <v/>
      </c>
      <c r="D337" s="37" t="str">
        <f>IFERROR(VLOOKUP(B337, '📋 PRODUCTS'!A:D, 3, FALSE), "")</f>
        <v/>
      </c>
      <c r="E337" s="37"/>
      <c r="F337" s="37" t="str">
        <f>IFERROR(VLOOKUP(B337, '📋 PRODUCTS'!A:D, 4, FALSE), "")</f>
        <v/>
      </c>
      <c r="G337" s="37">
        <f t="shared" si="1"/>
        <v>0</v>
      </c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>
      <c r="A338" s="37"/>
      <c r="B338" s="37"/>
      <c r="C338" s="37" t="str">
        <f>IFERROR(VLOOKUP(B338, '📋 PRODUCTS'!A:D, 2, FALSE), "")</f>
        <v/>
      </c>
      <c r="D338" s="37" t="str">
        <f>IFERROR(VLOOKUP(B338, '📋 PRODUCTS'!A:D, 3, FALSE), "")</f>
        <v/>
      </c>
      <c r="E338" s="37"/>
      <c r="F338" s="37" t="str">
        <f>IFERROR(VLOOKUP(B338, '📋 PRODUCTS'!A:D, 4, FALSE), "")</f>
        <v/>
      </c>
      <c r="G338" s="37">
        <f t="shared" si="1"/>
        <v>0</v>
      </c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>
      <c r="A339" s="37"/>
      <c r="B339" s="37"/>
      <c r="C339" s="37" t="str">
        <f>IFERROR(VLOOKUP(B339, '📋 PRODUCTS'!A:D, 2, FALSE), "")</f>
        <v/>
      </c>
      <c r="D339" s="37" t="str">
        <f>IFERROR(VLOOKUP(B339, '📋 PRODUCTS'!A:D, 3, FALSE), "")</f>
        <v/>
      </c>
      <c r="E339" s="37"/>
      <c r="F339" s="37" t="str">
        <f>IFERROR(VLOOKUP(B339, '📋 PRODUCTS'!A:D, 4, FALSE), "")</f>
        <v/>
      </c>
      <c r="G339" s="37">
        <f t="shared" si="1"/>
        <v>0</v>
      </c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>
      <c r="A340" s="37"/>
      <c r="B340" s="37"/>
      <c r="C340" s="37" t="str">
        <f>IFERROR(VLOOKUP(B340, '📋 PRODUCTS'!A:D, 2, FALSE), "")</f>
        <v/>
      </c>
      <c r="D340" s="37" t="str">
        <f>IFERROR(VLOOKUP(B340, '📋 PRODUCTS'!A:D, 3, FALSE), "")</f>
        <v/>
      </c>
      <c r="E340" s="37"/>
      <c r="F340" s="37" t="str">
        <f>IFERROR(VLOOKUP(B340, '📋 PRODUCTS'!A:D, 4, FALSE), "")</f>
        <v/>
      </c>
      <c r="G340" s="37">
        <f t="shared" si="1"/>
        <v>0</v>
      </c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>
      <c r="A341" s="37"/>
      <c r="B341" s="37"/>
      <c r="C341" s="37" t="str">
        <f>IFERROR(VLOOKUP(B341, '📋 PRODUCTS'!A:D, 2, FALSE), "")</f>
        <v/>
      </c>
      <c r="D341" s="37" t="str">
        <f>IFERROR(VLOOKUP(B341, '📋 PRODUCTS'!A:D, 3, FALSE), "")</f>
        <v/>
      </c>
      <c r="E341" s="37"/>
      <c r="F341" s="37" t="str">
        <f>IFERROR(VLOOKUP(B341, '📋 PRODUCTS'!A:D, 4, FALSE), "")</f>
        <v/>
      </c>
      <c r="G341" s="37">
        <f t="shared" si="1"/>
        <v>0</v>
      </c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>
      <c r="A342" s="37"/>
      <c r="B342" s="37"/>
      <c r="C342" s="37" t="str">
        <f>IFERROR(VLOOKUP(B342, '📋 PRODUCTS'!A:D, 2, FALSE), "")</f>
        <v/>
      </c>
      <c r="D342" s="37" t="str">
        <f>IFERROR(VLOOKUP(B342, '📋 PRODUCTS'!A:D, 3, FALSE), "")</f>
        <v/>
      </c>
      <c r="E342" s="37"/>
      <c r="F342" s="37" t="str">
        <f>IFERROR(VLOOKUP(B342, '📋 PRODUCTS'!A:D, 4, FALSE), "")</f>
        <v/>
      </c>
      <c r="G342" s="37">
        <f t="shared" si="1"/>
        <v>0</v>
      </c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>
      <c r="A343" s="37"/>
      <c r="B343" s="37"/>
      <c r="C343" s="37" t="str">
        <f>IFERROR(VLOOKUP(B343, '📋 PRODUCTS'!A:D, 2, FALSE), "")</f>
        <v/>
      </c>
      <c r="D343" s="37" t="str">
        <f>IFERROR(VLOOKUP(B343, '📋 PRODUCTS'!A:D, 3, FALSE), "")</f>
        <v/>
      </c>
      <c r="E343" s="37"/>
      <c r="F343" s="37" t="str">
        <f>IFERROR(VLOOKUP(B343, '📋 PRODUCTS'!A:D, 4, FALSE), "")</f>
        <v/>
      </c>
      <c r="G343" s="37">
        <f t="shared" si="1"/>
        <v>0</v>
      </c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>
      <c r="A344" s="37"/>
      <c r="B344" s="37"/>
      <c r="C344" s="37" t="str">
        <f>IFERROR(VLOOKUP(B344, '📋 PRODUCTS'!A:D, 2, FALSE), "")</f>
        <v/>
      </c>
      <c r="D344" s="37" t="str">
        <f>IFERROR(VLOOKUP(B344, '📋 PRODUCTS'!A:D, 3, FALSE), "")</f>
        <v/>
      </c>
      <c r="E344" s="37"/>
      <c r="F344" s="37" t="str">
        <f>IFERROR(VLOOKUP(B344, '📋 PRODUCTS'!A:D, 4, FALSE), "")</f>
        <v/>
      </c>
      <c r="G344" s="37">
        <f t="shared" si="1"/>
        <v>0</v>
      </c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>
      <c r="A345" s="37"/>
      <c r="B345" s="37"/>
      <c r="C345" s="37" t="str">
        <f>IFERROR(VLOOKUP(B345, '📋 PRODUCTS'!A:D, 2, FALSE), "")</f>
        <v/>
      </c>
      <c r="D345" s="37" t="str">
        <f>IFERROR(VLOOKUP(B345, '📋 PRODUCTS'!A:D, 3, FALSE), "")</f>
        <v/>
      </c>
      <c r="E345" s="37"/>
      <c r="F345" s="37" t="str">
        <f>IFERROR(VLOOKUP(B345, '📋 PRODUCTS'!A:D, 4, FALSE), "")</f>
        <v/>
      </c>
      <c r="G345" s="37">
        <f t="shared" si="1"/>
        <v>0</v>
      </c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>
      <c r="A346" s="37"/>
      <c r="B346" s="37"/>
      <c r="C346" s="37" t="str">
        <f>IFERROR(VLOOKUP(B346, '📋 PRODUCTS'!A:D, 2, FALSE), "")</f>
        <v/>
      </c>
      <c r="D346" s="37" t="str">
        <f>IFERROR(VLOOKUP(B346, '📋 PRODUCTS'!A:D, 3, FALSE), "")</f>
        <v/>
      </c>
      <c r="E346" s="37"/>
      <c r="F346" s="37" t="str">
        <f>IFERROR(VLOOKUP(B346, '📋 PRODUCTS'!A:D, 4, FALSE), "")</f>
        <v/>
      </c>
      <c r="G346" s="37">
        <f t="shared" si="1"/>
        <v>0</v>
      </c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>
      <c r="A347" s="37"/>
      <c r="B347" s="37"/>
      <c r="C347" s="37" t="str">
        <f>IFERROR(VLOOKUP(B347, '📋 PRODUCTS'!A:D, 2, FALSE), "")</f>
        <v/>
      </c>
      <c r="D347" s="37" t="str">
        <f>IFERROR(VLOOKUP(B347, '📋 PRODUCTS'!A:D, 3, FALSE), "")</f>
        <v/>
      </c>
      <c r="E347" s="37"/>
      <c r="F347" s="37" t="str">
        <f>IFERROR(VLOOKUP(B347, '📋 PRODUCTS'!A:D, 4, FALSE), "")</f>
        <v/>
      </c>
      <c r="G347" s="37">
        <f t="shared" si="1"/>
        <v>0</v>
      </c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>
      <c r="A348" s="37"/>
      <c r="B348" s="37"/>
      <c r="C348" s="37" t="str">
        <f>IFERROR(VLOOKUP(B348, '📋 PRODUCTS'!A:D, 2, FALSE), "")</f>
        <v/>
      </c>
      <c r="D348" s="37" t="str">
        <f>IFERROR(VLOOKUP(B348, '📋 PRODUCTS'!A:D, 3, FALSE), "")</f>
        <v/>
      </c>
      <c r="E348" s="37"/>
      <c r="F348" s="37" t="str">
        <f>IFERROR(VLOOKUP(B348, '📋 PRODUCTS'!A:D, 4, FALSE), "")</f>
        <v/>
      </c>
      <c r="G348" s="37">
        <f t="shared" si="1"/>
        <v>0</v>
      </c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>
      <c r="A349" s="37"/>
      <c r="B349" s="37"/>
      <c r="C349" s="37" t="str">
        <f>IFERROR(VLOOKUP(B349, '📋 PRODUCTS'!A:D, 2, FALSE), "")</f>
        <v/>
      </c>
      <c r="D349" s="37" t="str">
        <f>IFERROR(VLOOKUP(B349, '📋 PRODUCTS'!A:D, 3, FALSE), "")</f>
        <v/>
      </c>
      <c r="E349" s="37"/>
      <c r="F349" s="37" t="str">
        <f>IFERROR(VLOOKUP(B349, '📋 PRODUCTS'!A:D, 4, FALSE), "")</f>
        <v/>
      </c>
      <c r="G349" s="37">
        <f t="shared" si="1"/>
        <v>0</v>
      </c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>
      <c r="A350" s="37"/>
      <c r="B350" s="37"/>
      <c r="C350" s="37" t="str">
        <f>IFERROR(VLOOKUP(B350, '📋 PRODUCTS'!A:D, 2, FALSE), "")</f>
        <v/>
      </c>
      <c r="D350" s="37" t="str">
        <f>IFERROR(VLOOKUP(B350, '📋 PRODUCTS'!A:D, 3, FALSE), "")</f>
        <v/>
      </c>
      <c r="E350" s="37"/>
      <c r="F350" s="37" t="str">
        <f>IFERROR(VLOOKUP(B350, '📋 PRODUCTS'!A:D, 4, FALSE), "")</f>
        <v/>
      </c>
      <c r="G350" s="37">
        <f t="shared" si="1"/>
        <v>0</v>
      </c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>
      <c r="A351" s="37"/>
      <c r="B351" s="37"/>
      <c r="C351" s="37" t="str">
        <f>IFERROR(VLOOKUP(B351, '📋 PRODUCTS'!A:D, 2, FALSE), "")</f>
        <v/>
      </c>
      <c r="D351" s="37" t="str">
        <f>IFERROR(VLOOKUP(B351, '📋 PRODUCTS'!A:D, 3, FALSE), "")</f>
        <v/>
      </c>
      <c r="E351" s="37"/>
      <c r="F351" s="37" t="str">
        <f>IFERROR(VLOOKUP(B351, '📋 PRODUCTS'!A:D, 4, FALSE), "")</f>
        <v/>
      </c>
      <c r="G351" s="37">
        <f t="shared" si="1"/>
        <v>0</v>
      </c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>
      <c r="A352" s="37"/>
      <c r="B352" s="37"/>
      <c r="C352" s="37" t="str">
        <f>IFERROR(VLOOKUP(B352, '📋 PRODUCTS'!A:D, 2, FALSE), "")</f>
        <v/>
      </c>
      <c r="D352" s="37" t="str">
        <f>IFERROR(VLOOKUP(B352, '📋 PRODUCTS'!A:D, 3, FALSE), "")</f>
        <v/>
      </c>
      <c r="E352" s="37"/>
      <c r="F352" s="37" t="str">
        <f>IFERROR(VLOOKUP(B352, '📋 PRODUCTS'!A:D, 4, FALSE), "")</f>
        <v/>
      </c>
      <c r="G352" s="37">
        <f t="shared" si="1"/>
        <v>0</v>
      </c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>
      <c r="A353" s="37"/>
      <c r="B353" s="37"/>
      <c r="C353" s="37" t="str">
        <f>IFERROR(VLOOKUP(B353, '📋 PRODUCTS'!A:D, 2, FALSE), "")</f>
        <v/>
      </c>
      <c r="D353" s="37" t="str">
        <f>IFERROR(VLOOKUP(B353, '📋 PRODUCTS'!A:D, 3, FALSE), "")</f>
        <v/>
      </c>
      <c r="E353" s="37"/>
      <c r="F353" s="37" t="str">
        <f>IFERROR(VLOOKUP(B353, '📋 PRODUCTS'!A:D, 4, FALSE), "")</f>
        <v/>
      </c>
      <c r="G353" s="37">
        <f t="shared" si="1"/>
        <v>0</v>
      </c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>
      <c r="A354" s="37"/>
      <c r="B354" s="37"/>
      <c r="C354" s="37" t="str">
        <f>IFERROR(VLOOKUP(B354, '📋 PRODUCTS'!A:D, 2, FALSE), "")</f>
        <v/>
      </c>
      <c r="D354" s="37" t="str">
        <f>IFERROR(VLOOKUP(B354, '📋 PRODUCTS'!A:D, 3, FALSE), "")</f>
        <v/>
      </c>
      <c r="E354" s="37"/>
      <c r="F354" s="37" t="str">
        <f>IFERROR(VLOOKUP(B354, '📋 PRODUCTS'!A:D, 4, FALSE), "")</f>
        <v/>
      </c>
      <c r="G354" s="37">
        <f t="shared" si="1"/>
        <v>0</v>
      </c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>
      <c r="A355" s="37"/>
      <c r="B355" s="37"/>
      <c r="C355" s="37" t="str">
        <f>IFERROR(VLOOKUP(B355, '📋 PRODUCTS'!A:D, 2, FALSE), "")</f>
        <v/>
      </c>
      <c r="D355" s="37" t="str">
        <f>IFERROR(VLOOKUP(B355, '📋 PRODUCTS'!A:D, 3, FALSE), "")</f>
        <v/>
      </c>
      <c r="E355" s="37"/>
      <c r="F355" s="37" t="str">
        <f>IFERROR(VLOOKUP(B355, '📋 PRODUCTS'!A:D, 4, FALSE), "")</f>
        <v/>
      </c>
      <c r="G355" s="37">
        <f t="shared" si="1"/>
        <v>0</v>
      </c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>
      <c r="A356" s="37"/>
      <c r="B356" s="37"/>
      <c r="C356" s="37" t="str">
        <f>IFERROR(VLOOKUP(B356, '📋 PRODUCTS'!A:D, 2, FALSE), "")</f>
        <v/>
      </c>
      <c r="D356" s="37" t="str">
        <f>IFERROR(VLOOKUP(B356, '📋 PRODUCTS'!A:D, 3, FALSE), "")</f>
        <v/>
      </c>
      <c r="E356" s="37"/>
      <c r="F356" s="37" t="str">
        <f>IFERROR(VLOOKUP(B356, '📋 PRODUCTS'!A:D, 4, FALSE), "")</f>
        <v/>
      </c>
      <c r="G356" s="37">
        <f t="shared" si="1"/>
        <v>0</v>
      </c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>
      <c r="A357" s="37"/>
      <c r="B357" s="37"/>
      <c r="C357" s="37" t="str">
        <f>IFERROR(VLOOKUP(B357, '📋 PRODUCTS'!A:D, 2, FALSE), "")</f>
        <v/>
      </c>
      <c r="D357" s="37" t="str">
        <f>IFERROR(VLOOKUP(B357, '📋 PRODUCTS'!A:D, 3, FALSE), "")</f>
        <v/>
      </c>
      <c r="E357" s="37"/>
      <c r="F357" s="37" t="str">
        <f>IFERROR(VLOOKUP(B357, '📋 PRODUCTS'!A:D, 4, FALSE), "")</f>
        <v/>
      </c>
      <c r="G357" s="37">
        <f t="shared" si="1"/>
        <v>0</v>
      </c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>
      <c r="A358" s="37"/>
      <c r="B358" s="37"/>
      <c r="C358" s="37" t="str">
        <f>IFERROR(VLOOKUP(B358, '📋 PRODUCTS'!A:D, 2, FALSE), "")</f>
        <v/>
      </c>
      <c r="D358" s="37" t="str">
        <f>IFERROR(VLOOKUP(B358, '📋 PRODUCTS'!A:D, 3, FALSE), "")</f>
        <v/>
      </c>
      <c r="E358" s="37"/>
      <c r="F358" s="37" t="str">
        <f>IFERROR(VLOOKUP(B358, '📋 PRODUCTS'!A:D, 4, FALSE), "")</f>
        <v/>
      </c>
      <c r="G358" s="37">
        <f t="shared" si="1"/>
        <v>0</v>
      </c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>
      <c r="A359" s="37"/>
      <c r="B359" s="37"/>
      <c r="C359" s="37" t="str">
        <f>IFERROR(VLOOKUP(B359, '📋 PRODUCTS'!A:D, 2, FALSE), "")</f>
        <v/>
      </c>
      <c r="D359" s="37" t="str">
        <f>IFERROR(VLOOKUP(B359, '📋 PRODUCTS'!A:D, 3, FALSE), "")</f>
        <v/>
      </c>
      <c r="E359" s="37"/>
      <c r="F359" s="37" t="str">
        <f>IFERROR(VLOOKUP(B359, '📋 PRODUCTS'!A:D, 4, FALSE), "")</f>
        <v/>
      </c>
      <c r="G359" s="37">
        <f t="shared" si="1"/>
        <v>0</v>
      </c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>
      <c r="A360" s="37"/>
      <c r="B360" s="37"/>
      <c r="C360" s="37" t="str">
        <f>IFERROR(VLOOKUP(B360, '📋 PRODUCTS'!A:D, 2, FALSE), "")</f>
        <v/>
      </c>
      <c r="D360" s="37" t="str">
        <f>IFERROR(VLOOKUP(B360, '📋 PRODUCTS'!A:D, 3, FALSE), "")</f>
        <v/>
      </c>
      <c r="E360" s="37"/>
      <c r="F360" s="37" t="str">
        <f>IFERROR(VLOOKUP(B360, '📋 PRODUCTS'!A:D, 4, FALSE), "")</f>
        <v/>
      </c>
      <c r="G360" s="37">
        <f t="shared" si="1"/>
        <v>0</v>
      </c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>
      <c r="A361" s="37"/>
      <c r="B361" s="37"/>
      <c r="C361" s="37" t="str">
        <f>IFERROR(VLOOKUP(B361, '📋 PRODUCTS'!A:D, 2, FALSE), "")</f>
        <v/>
      </c>
      <c r="D361" s="37" t="str">
        <f>IFERROR(VLOOKUP(B361, '📋 PRODUCTS'!A:D, 3, FALSE), "")</f>
        <v/>
      </c>
      <c r="E361" s="37"/>
      <c r="F361" s="37" t="str">
        <f>IFERROR(VLOOKUP(B361, '📋 PRODUCTS'!A:D, 4, FALSE), "")</f>
        <v/>
      </c>
      <c r="G361" s="37">
        <f t="shared" si="1"/>
        <v>0</v>
      </c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>
      <c r="A362" s="37"/>
      <c r="B362" s="37"/>
      <c r="C362" s="37" t="str">
        <f>IFERROR(VLOOKUP(B362, '📋 PRODUCTS'!A:D, 2, FALSE), "")</f>
        <v/>
      </c>
      <c r="D362" s="37" t="str">
        <f>IFERROR(VLOOKUP(B362, '📋 PRODUCTS'!A:D, 3, FALSE), "")</f>
        <v/>
      </c>
      <c r="E362" s="37"/>
      <c r="F362" s="37" t="str">
        <f>IFERROR(VLOOKUP(B362, '📋 PRODUCTS'!A:D, 4, FALSE), "")</f>
        <v/>
      </c>
      <c r="G362" s="37">
        <f t="shared" si="1"/>
        <v>0</v>
      </c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>
      <c r="A363" s="37"/>
      <c r="B363" s="37"/>
      <c r="C363" s="37" t="str">
        <f>IFERROR(VLOOKUP(B363, '📋 PRODUCTS'!A:D, 2, FALSE), "")</f>
        <v/>
      </c>
      <c r="D363" s="37" t="str">
        <f>IFERROR(VLOOKUP(B363, '📋 PRODUCTS'!A:D, 3, FALSE), "")</f>
        <v/>
      </c>
      <c r="E363" s="37"/>
      <c r="F363" s="37" t="str">
        <f>IFERROR(VLOOKUP(B363, '📋 PRODUCTS'!A:D, 4, FALSE), "")</f>
        <v/>
      </c>
      <c r="G363" s="37">
        <f t="shared" si="1"/>
        <v>0</v>
      </c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>
      <c r="A364" s="37"/>
      <c r="B364" s="37"/>
      <c r="C364" s="37" t="str">
        <f>IFERROR(VLOOKUP(B364, '📋 PRODUCTS'!A:D, 2, FALSE), "")</f>
        <v/>
      </c>
      <c r="D364" s="37" t="str">
        <f>IFERROR(VLOOKUP(B364, '📋 PRODUCTS'!A:D, 3, FALSE), "")</f>
        <v/>
      </c>
      <c r="E364" s="37"/>
      <c r="F364" s="37" t="str">
        <f>IFERROR(VLOOKUP(B364, '📋 PRODUCTS'!A:D, 4, FALSE), "")</f>
        <v/>
      </c>
      <c r="G364" s="37">
        <f t="shared" si="1"/>
        <v>0</v>
      </c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>
      <c r="A365" s="37"/>
      <c r="B365" s="37"/>
      <c r="C365" s="37" t="str">
        <f>IFERROR(VLOOKUP(B365, '📋 PRODUCTS'!A:D, 2, FALSE), "")</f>
        <v/>
      </c>
      <c r="D365" s="37" t="str">
        <f>IFERROR(VLOOKUP(B365, '📋 PRODUCTS'!A:D, 3, FALSE), "")</f>
        <v/>
      </c>
      <c r="E365" s="37"/>
      <c r="F365" s="37" t="str">
        <f>IFERROR(VLOOKUP(B365, '📋 PRODUCTS'!A:D, 4, FALSE), "")</f>
        <v/>
      </c>
      <c r="G365" s="37">
        <f t="shared" si="1"/>
        <v>0</v>
      </c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>
      <c r="A366" s="37"/>
      <c r="B366" s="37"/>
      <c r="C366" s="37" t="str">
        <f>IFERROR(VLOOKUP(B366, '📋 PRODUCTS'!A:D, 2, FALSE), "")</f>
        <v/>
      </c>
      <c r="D366" s="37" t="str">
        <f>IFERROR(VLOOKUP(B366, '📋 PRODUCTS'!A:D, 3, FALSE), "")</f>
        <v/>
      </c>
      <c r="E366" s="37"/>
      <c r="F366" s="37" t="str">
        <f>IFERROR(VLOOKUP(B366, '📋 PRODUCTS'!A:D, 4, FALSE), "")</f>
        <v/>
      </c>
      <c r="G366" s="37">
        <f t="shared" si="1"/>
        <v>0</v>
      </c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>
      <c r="A367" s="37"/>
      <c r="B367" s="37"/>
      <c r="C367" s="37" t="str">
        <f>IFERROR(VLOOKUP(B367, '📋 PRODUCTS'!A:D, 2, FALSE), "")</f>
        <v/>
      </c>
      <c r="D367" s="37" t="str">
        <f>IFERROR(VLOOKUP(B367, '📋 PRODUCTS'!A:D, 3, FALSE), "")</f>
        <v/>
      </c>
      <c r="E367" s="37"/>
      <c r="F367" s="37" t="str">
        <f>IFERROR(VLOOKUP(B367, '📋 PRODUCTS'!A:D, 4, FALSE), "")</f>
        <v/>
      </c>
      <c r="G367" s="37">
        <f t="shared" si="1"/>
        <v>0</v>
      </c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>
      <c r="A368" s="37"/>
      <c r="B368" s="37"/>
      <c r="C368" s="37" t="str">
        <f>IFERROR(VLOOKUP(B368, '📋 PRODUCTS'!A:D, 2, FALSE), "")</f>
        <v/>
      </c>
      <c r="D368" s="37" t="str">
        <f>IFERROR(VLOOKUP(B368, '📋 PRODUCTS'!A:D, 3, FALSE), "")</f>
        <v/>
      </c>
      <c r="E368" s="37"/>
      <c r="F368" s="37" t="str">
        <f>IFERROR(VLOOKUP(B368, '📋 PRODUCTS'!A:D, 4, FALSE), "")</f>
        <v/>
      </c>
      <c r="G368" s="37">
        <f t="shared" si="1"/>
        <v>0</v>
      </c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>
      <c r="A369" s="37"/>
      <c r="B369" s="37"/>
      <c r="C369" s="37" t="str">
        <f>IFERROR(VLOOKUP(B369, '📋 PRODUCTS'!A:D, 2, FALSE), "")</f>
        <v/>
      </c>
      <c r="D369" s="37" t="str">
        <f>IFERROR(VLOOKUP(B369, '📋 PRODUCTS'!A:D, 3, FALSE), "")</f>
        <v/>
      </c>
      <c r="E369" s="37"/>
      <c r="F369" s="37" t="str">
        <f>IFERROR(VLOOKUP(B369, '📋 PRODUCTS'!A:D, 4, FALSE), "")</f>
        <v/>
      </c>
      <c r="G369" s="37">
        <f t="shared" si="1"/>
        <v>0</v>
      </c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>
      <c r="A370" s="37"/>
      <c r="B370" s="37"/>
      <c r="C370" s="37" t="str">
        <f>IFERROR(VLOOKUP(B370, '📋 PRODUCTS'!A:D, 2, FALSE), "")</f>
        <v/>
      </c>
      <c r="D370" s="37" t="str">
        <f>IFERROR(VLOOKUP(B370, '📋 PRODUCTS'!A:D, 3, FALSE), "")</f>
        <v/>
      </c>
      <c r="E370" s="37"/>
      <c r="F370" s="37" t="str">
        <f>IFERROR(VLOOKUP(B370, '📋 PRODUCTS'!A:D, 4, FALSE), "")</f>
        <v/>
      </c>
      <c r="G370" s="37">
        <f t="shared" si="1"/>
        <v>0</v>
      </c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>
      <c r="A371" s="37"/>
      <c r="B371" s="37"/>
      <c r="C371" s="37" t="str">
        <f>IFERROR(VLOOKUP(B371, '📋 PRODUCTS'!A:D, 2, FALSE), "")</f>
        <v/>
      </c>
      <c r="D371" s="37" t="str">
        <f>IFERROR(VLOOKUP(B371, '📋 PRODUCTS'!A:D, 3, FALSE), "")</f>
        <v/>
      </c>
      <c r="E371" s="37"/>
      <c r="F371" s="37" t="str">
        <f>IFERROR(VLOOKUP(B371, '📋 PRODUCTS'!A:D, 4, FALSE), "")</f>
        <v/>
      </c>
      <c r="G371" s="37">
        <f t="shared" si="1"/>
        <v>0</v>
      </c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>
      <c r="A372" s="37"/>
      <c r="B372" s="37"/>
      <c r="C372" s="37" t="str">
        <f>IFERROR(VLOOKUP(B372, '📋 PRODUCTS'!A:D, 2, FALSE), "")</f>
        <v/>
      </c>
      <c r="D372" s="37" t="str">
        <f>IFERROR(VLOOKUP(B372, '📋 PRODUCTS'!A:D, 3, FALSE), "")</f>
        <v/>
      </c>
      <c r="E372" s="37"/>
      <c r="F372" s="37" t="str">
        <f>IFERROR(VLOOKUP(B372, '📋 PRODUCTS'!A:D, 4, FALSE), "")</f>
        <v/>
      </c>
      <c r="G372" s="37">
        <f t="shared" si="1"/>
        <v>0</v>
      </c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>
      <c r="A373" s="37"/>
      <c r="B373" s="37"/>
      <c r="C373" s="37" t="str">
        <f>IFERROR(VLOOKUP(B373, '📋 PRODUCTS'!A:D, 2, FALSE), "")</f>
        <v/>
      </c>
      <c r="D373" s="37" t="str">
        <f>IFERROR(VLOOKUP(B373, '📋 PRODUCTS'!A:D, 3, FALSE), "")</f>
        <v/>
      </c>
      <c r="E373" s="37"/>
      <c r="F373" s="37" t="str">
        <f>IFERROR(VLOOKUP(B373, '📋 PRODUCTS'!A:D, 4, FALSE), "")</f>
        <v/>
      </c>
      <c r="G373" s="37">
        <f t="shared" si="1"/>
        <v>0</v>
      </c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>
      <c r="A374" s="37"/>
      <c r="B374" s="37"/>
      <c r="C374" s="37" t="str">
        <f>IFERROR(VLOOKUP(B374, '📋 PRODUCTS'!A:D, 2, FALSE), "")</f>
        <v/>
      </c>
      <c r="D374" s="37" t="str">
        <f>IFERROR(VLOOKUP(B374, '📋 PRODUCTS'!A:D, 3, FALSE), "")</f>
        <v/>
      </c>
      <c r="E374" s="37"/>
      <c r="F374" s="37" t="str">
        <f>IFERROR(VLOOKUP(B374, '📋 PRODUCTS'!A:D, 4, FALSE), "")</f>
        <v/>
      </c>
      <c r="G374" s="37">
        <f t="shared" si="1"/>
        <v>0</v>
      </c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>
      <c r="A375" s="37"/>
      <c r="B375" s="37"/>
      <c r="C375" s="37" t="str">
        <f>IFERROR(VLOOKUP(B375, '📋 PRODUCTS'!A:D, 2, FALSE), "")</f>
        <v/>
      </c>
      <c r="D375" s="37" t="str">
        <f>IFERROR(VLOOKUP(B375, '📋 PRODUCTS'!A:D, 3, FALSE), "")</f>
        <v/>
      </c>
      <c r="E375" s="37"/>
      <c r="F375" s="37" t="str">
        <f>IFERROR(VLOOKUP(B375, '📋 PRODUCTS'!A:D, 4, FALSE), "")</f>
        <v/>
      </c>
      <c r="G375" s="37">
        <f t="shared" si="1"/>
        <v>0</v>
      </c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>
      <c r="A376" s="37"/>
      <c r="B376" s="37"/>
      <c r="C376" s="37" t="str">
        <f>IFERROR(VLOOKUP(B376, '📋 PRODUCTS'!A:D, 2, FALSE), "")</f>
        <v/>
      </c>
      <c r="D376" s="37" t="str">
        <f>IFERROR(VLOOKUP(B376, '📋 PRODUCTS'!A:D, 3, FALSE), "")</f>
        <v/>
      </c>
      <c r="E376" s="37"/>
      <c r="F376" s="37" t="str">
        <f>IFERROR(VLOOKUP(B376, '📋 PRODUCTS'!A:D, 4, FALSE), "")</f>
        <v/>
      </c>
      <c r="G376" s="37">
        <f t="shared" si="1"/>
        <v>0</v>
      </c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>
      <c r="A377" s="37"/>
      <c r="B377" s="37"/>
      <c r="C377" s="37" t="str">
        <f>IFERROR(VLOOKUP(B377, '📋 PRODUCTS'!A:D, 2, FALSE), "")</f>
        <v/>
      </c>
      <c r="D377" s="37" t="str">
        <f>IFERROR(VLOOKUP(B377, '📋 PRODUCTS'!A:D, 3, FALSE), "")</f>
        <v/>
      </c>
      <c r="E377" s="37"/>
      <c r="F377" s="37" t="str">
        <f>IFERROR(VLOOKUP(B377, '📋 PRODUCTS'!A:D, 4, FALSE), "")</f>
        <v/>
      </c>
      <c r="G377" s="37">
        <f t="shared" si="1"/>
        <v>0</v>
      </c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>
      <c r="A378" s="37"/>
      <c r="B378" s="37"/>
      <c r="C378" s="37" t="str">
        <f>IFERROR(VLOOKUP(B378, '📋 PRODUCTS'!A:D, 2, FALSE), "")</f>
        <v/>
      </c>
      <c r="D378" s="37" t="str">
        <f>IFERROR(VLOOKUP(B378, '📋 PRODUCTS'!A:D, 3, FALSE), "")</f>
        <v/>
      </c>
      <c r="E378" s="37"/>
      <c r="F378" s="37" t="str">
        <f>IFERROR(VLOOKUP(B378, '📋 PRODUCTS'!A:D, 4, FALSE), "")</f>
        <v/>
      </c>
      <c r="G378" s="37">
        <f t="shared" si="1"/>
        <v>0</v>
      </c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>
      <c r="A379" s="37"/>
      <c r="B379" s="37"/>
      <c r="C379" s="37" t="str">
        <f>IFERROR(VLOOKUP(B379, '📋 PRODUCTS'!A:D, 2, FALSE), "")</f>
        <v/>
      </c>
      <c r="D379" s="37" t="str">
        <f>IFERROR(VLOOKUP(B379, '📋 PRODUCTS'!A:D, 3, FALSE), "")</f>
        <v/>
      </c>
      <c r="E379" s="37"/>
      <c r="F379" s="37" t="str">
        <f>IFERROR(VLOOKUP(B379, '📋 PRODUCTS'!A:D, 4, FALSE), "")</f>
        <v/>
      </c>
      <c r="G379" s="37">
        <f t="shared" si="1"/>
        <v>0</v>
      </c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>
      <c r="A380" s="37"/>
      <c r="B380" s="37"/>
      <c r="C380" s="37" t="str">
        <f>IFERROR(VLOOKUP(B380, '📋 PRODUCTS'!A:D, 2, FALSE), "")</f>
        <v/>
      </c>
      <c r="D380" s="37" t="str">
        <f>IFERROR(VLOOKUP(B380, '📋 PRODUCTS'!A:D, 3, FALSE), "")</f>
        <v/>
      </c>
      <c r="E380" s="37"/>
      <c r="F380" s="37" t="str">
        <f>IFERROR(VLOOKUP(B380, '📋 PRODUCTS'!A:D, 4, FALSE), "")</f>
        <v/>
      </c>
      <c r="G380" s="37">
        <f t="shared" si="1"/>
        <v>0</v>
      </c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>
      <c r="A381" s="37"/>
      <c r="B381" s="37"/>
      <c r="C381" s="37" t="str">
        <f>IFERROR(VLOOKUP(B381, '📋 PRODUCTS'!A:D, 2, FALSE), "")</f>
        <v/>
      </c>
      <c r="D381" s="37" t="str">
        <f>IFERROR(VLOOKUP(B381, '📋 PRODUCTS'!A:D, 3, FALSE), "")</f>
        <v/>
      </c>
      <c r="E381" s="37"/>
      <c r="F381" s="37" t="str">
        <f>IFERROR(VLOOKUP(B381, '📋 PRODUCTS'!A:D, 4, FALSE), "")</f>
        <v/>
      </c>
      <c r="G381" s="37">
        <f t="shared" si="1"/>
        <v>0</v>
      </c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>
      <c r="A382" s="37"/>
      <c r="B382" s="37"/>
      <c r="C382" s="37" t="str">
        <f>IFERROR(VLOOKUP(B382, '📋 PRODUCTS'!A:D, 2, FALSE), "")</f>
        <v/>
      </c>
      <c r="D382" s="37" t="str">
        <f>IFERROR(VLOOKUP(B382, '📋 PRODUCTS'!A:D, 3, FALSE), "")</f>
        <v/>
      </c>
      <c r="E382" s="37"/>
      <c r="F382" s="37" t="str">
        <f>IFERROR(VLOOKUP(B382, '📋 PRODUCTS'!A:D, 4, FALSE), "")</f>
        <v/>
      </c>
      <c r="G382" s="37">
        <f t="shared" si="1"/>
        <v>0</v>
      </c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>
      <c r="A383" s="37"/>
      <c r="B383" s="37"/>
      <c r="C383" s="37" t="str">
        <f>IFERROR(VLOOKUP(B383, '📋 PRODUCTS'!A:D, 2, FALSE), "")</f>
        <v/>
      </c>
      <c r="D383" s="37" t="str">
        <f>IFERROR(VLOOKUP(B383, '📋 PRODUCTS'!A:D, 3, FALSE), "")</f>
        <v/>
      </c>
      <c r="E383" s="37"/>
      <c r="F383" s="37" t="str">
        <f>IFERROR(VLOOKUP(B383, '📋 PRODUCTS'!A:D, 4, FALSE), "")</f>
        <v/>
      </c>
      <c r="G383" s="37">
        <f t="shared" si="1"/>
        <v>0</v>
      </c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>
      <c r="A384" s="37"/>
      <c r="B384" s="37"/>
      <c r="C384" s="37" t="str">
        <f>IFERROR(VLOOKUP(B384, '📋 PRODUCTS'!A:D, 2, FALSE), "")</f>
        <v/>
      </c>
      <c r="D384" s="37" t="str">
        <f>IFERROR(VLOOKUP(B384, '📋 PRODUCTS'!A:D, 3, FALSE), "")</f>
        <v/>
      </c>
      <c r="E384" s="37"/>
      <c r="F384" s="37" t="str">
        <f>IFERROR(VLOOKUP(B384, '📋 PRODUCTS'!A:D, 4, FALSE), "")</f>
        <v/>
      </c>
      <c r="G384" s="37">
        <f t="shared" si="1"/>
        <v>0</v>
      </c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>
      <c r="A385" s="37"/>
      <c r="B385" s="37"/>
      <c r="C385" s="37" t="str">
        <f>IFERROR(VLOOKUP(B385, '📋 PRODUCTS'!A:D, 2, FALSE), "")</f>
        <v/>
      </c>
      <c r="D385" s="37" t="str">
        <f>IFERROR(VLOOKUP(B385, '📋 PRODUCTS'!A:D, 3, FALSE), "")</f>
        <v/>
      </c>
      <c r="E385" s="37"/>
      <c r="F385" s="37" t="str">
        <f>IFERROR(VLOOKUP(B385, '📋 PRODUCTS'!A:D, 4, FALSE), "")</f>
        <v/>
      </c>
      <c r="G385" s="37">
        <f t="shared" si="1"/>
        <v>0</v>
      </c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>
      <c r="A386" s="37"/>
      <c r="B386" s="37"/>
      <c r="C386" s="37" t="str">
        <f>IFERROR(VLOOKUP(B386, '📋 PRODUCTS'!A:D, 2, FALSE), "")</f>
        <v/>
      </c>
      <c r="D386" s="37" t="str">
        <f>IFERROR(VLOOKUP(B386, '📋 PRODUCTS'!A:D, 3, FALSE), "")</f>
        <v/>
      </c>
      <c r="E386" s="37"/>
      <c r="F386" s="37" t="str">
        <f>IFERROR(VLOOKUP(B386, '📋 PRODUCTS'!A:D, 4, FALSE), "")</f>
        <v/>
      </c>
      <c r="G386" s="37">
        <f t="shared" si="1"/>
        <v>0</v>
      </c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>
      <c r="A387" s="37"/>
      <c r="B387" s="37"/>
      <c r="C387" s="37" t="str">
        <f>IFERROR(VLOOKUP(B387, '📋 PRODUCTS'!A:D, 2, FALSE), "")</f>
        <v/>
      </c>
      <c r="D387" s="37" t="str">
        <f>IFERROR(VLOOKUP(B387, '📋 PRODUCTS'!A:D, 3, FALSE), "")</f>
        <v/>
      </c>
      <c r="E387" s="37"/>
      <c r="F387" s="37" t="str">
        <f>IFERROR(VLOOKUP(B387, '📋 PRODUCTS'!A:D, 4, FALSE), "")</f>
        <v/>
      </c>
      <c r="G387" s="37">
        <f t="shared" si="1"/>
        <v>0</v>
      </c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>
      <c r="A388" s="37"/>
      <c r="B388" s="37"/>
      <c r="C388" s="37" t="str">
        <f>IFERROR(VLOOKUP(B388, '📋 PRODUCTS'!A:D, 2, FALSE), "")</f>
        <v/>
      </c>
      <c r="D388" s="37" t="str">
        <f>IFERROR(VLOOKUP(B388, '📋 PRODUCTS'!A:D, 3, FALSE), "")</f>
        <v/>
      </c>
      <c r="E388" s="37"/>
      <c r="F388" s="37" t="str">
        <f>IFERROR(VLOOKUP(B388, '📋 PRODUCTS'!A:D, 4, FALSE), "")</f>
        <v/>
      </c>
      <c r="G388" s="37">
        <f t="shared" si="1"/>
        <v>0</v>
      </c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>
      <c r="A389" s="37"/>
      <c r="B389" s="37"/>
      <c r="C389" s="37" t="str">
        <f>IFERROR(VLOOKUP(B389, '📋 PRODUCTS'!A:D, 2, FALSE), "")</f>
        <v/>
      </c>
      <c r="D389" s="37" t="str">
        <f>IFERROR(VLOOKUP(B389, '📋 PRODUCTS'!A:D, 3, FALSE), "")</f>
        <v/>
      </c>
      <c r="E389" s="37"/>
      <c r="F389" s="37" t="str">
        <f>IFERROR(VLOOKUP(B389, '📋 PRODUCTS'!A:D, 4, FALSE), "")</f>
        <v/>
      </c>
      <c r="G389" s="37">
        <f t="shared" si="1"/>
        <v>0</v>
      </c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>
      <c r="A390" s="37"/>
      <c r="B390" s="37"/>
      <c r="C390" s="37" t="str">
        <f>IFERROR(VLOOKUP(B390, '📋 PRODUCTS'!A:D, 2, FALSE), "")</f>
        <v/>
      </c>
      <c r="D390" s="37" t="str">
        <f>IFERROR(VLOOKUP(B390, '📋 PRODUCTS'!A:D, 3, FALSE), "")</f>
        <v/>
      </c>
      <c r="E390" s="37"/>
      <c r="F390" s="37" t="str">
        <f>IFERROR(VLOOKUP(B390, '📋 PRODUCTS'!A:D, 4, FALSE), "")</f>
        <v/>
      </c>
      <c r="G390" s="37">
        <f t="shared" si="1"/>
        <v>0</v>
      </c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>
      <c r="A391" s="37"/>
      <c r="B391" s="37"/>
      <c r="C391" s="37" t="str">
        <f>IFERROR(VLOOKUP(B391, '📋 PRODUCTS'!A:D, 2, FALSE), "")</f>
        <v/>
      </c>
      <c r="D391" s="37" t="str">
        <f>IFERROR(VLOOKUP(B391, '📋 PRODUCTS'!A:D, 3, FALSE), "")</f>
        <v/>
      </c>
      <c r="E391" s="37"/>
      <c r="F391" s="37" t="str">
        <f>IFERROR(VLOOKUP(B391, '📋 PRODUCTS'!A:D, 4, FALSE), "")</f>
        <v/>
      </c>
      <c r="G391" s="37">
        <f t="shared" si="1"/>
        <v>0</v>
      </c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>
      <c r="A392" s="37"/>
      <c r="B392" s="37"/>
      <c r="C392" s="37" t="str">
        <f>IFERROR(VLOOKUP(B392, '📋 PRODUCTS'!A:D, 2, FALSE), "")</f>
        <v/>
      </c>
      <c r="D392" s="37" t="str">
        <f>IFERROR(VLOOKUP(B392, '📋 PRODUCTS'!A:D, 3, FALSE), "")</f>
        <v/>
      </c>
      <c r="E392" s="37"/>
      <c r="F392" s="37" t="str">
        <f>IFERROR(VLOOKUP(B392, '📋 PRODUCTS'!A:D, 4, FALSE), "")</f>
        <v/>
      </c>
      <c r="G392" s="37">
        <f t="shared" si="1"/>
        <v>0</v>
      </c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>
      <c r="A393" s="37"/>
      <c r="B393" s="37"/>
      <c r="C393" s="37" t="str">
        <f>IFERROR(VLOOKUP(B393, '📋 PRODUCTS'!A:D, 2, FALSE), "")</f>
        <v/>
      </c>
      <c r="D393" s="37" t="str">
        <f>IFERROR(VLOOKUP(B393, '📋 PRODUCTS'!A:D, 3, FALSE), "")</f>
        <v/>
      </c>
      <c r="E393" s="37"/>
      <c r="F393" s="37" t="str">
        <f>IFERROR(VLOOKUP(B393, '📋 PRODUCTS'!A:D, 4, FALSE), "")</f>
        <v/>
      </c>
      <c r="G393" s="37">
        <f t="shared" si="1"/>
        <v>0</v>
      </c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>
      <c r="A394" s="37"/>
      <c r="B394" s="37"/>
      <c r="C394" s="37" t="str">
        <f>IFERROR(VLOOKUP(B394, '📋 PRODUCTS'!A:D, 2, FALSE), "")</f>
        <v/>
      </c>
      <c r="D394" s="37" t="str">
        <f>IFERROR(VLOOKUP(B394, '📋 PRODUCTS'!A:D, 3, FALSE), "")</f>
        <v/>
      </c>
      <c r="E394" s="37"/>
      <c r="F394" s="37" t="str">
        <f>IFERROR(VLOOKUP(B394, '📋 PRODUCTS'!A:D, 4, FALSE), "")</f>
        <v/>
      </c>
      <c r="G394" s="37">
        <f t="shared" si="1"/>
        <v>0</v>
      </c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>
      <c r="A395" s="37"/>
      <c r="B395" s="37"/>
      <c r="C395" s="37" t="str">
        <f>IFERROR(VLOOKUP(B395, '📋 PRODUCTS'!A:D, 2, FALSE), "")</f>
        <v/>
      </c>
      <c r="D395" s="37" t="str">
        <f>IFERROR(VLOOKUP(B395, '📋 PRODUCTS'!A:D, 3, FALSE), "")</f>
        <v/>
      </c>
      <c r="E395" s="37"/>
      <c r="F395" s="37" t="str">
        <f>IFERROR(VLOOKUP(B395, '📋 PRODUCTS'!A:D, 4, FALSE), "")</f>
        <v/>
      </c>
      <c r="G395" s="37">
        <f t="shared" si="1"/>
        <v>0</v>
      </c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>
      <c r="A396" s="37"/>
      <c r="B396" s="37"/>
      <c r="C396" s="37" t="str">
        <f>IFERROR(VLOOKUP(B396, '📋 PRODUCTS'!A:D, 2, FALSE), "")</f>
        <v/>
      </c>
      <c r="D396" s="37" t="str">
        <f>IFERROR(VLOOKUP(B396, '📋 PRODUCTS'!A:D, 3, FALSE), "")</f>
        <v/>
      </c>
      <c r="E396" s="37"/>
      <c r="F396" s="37" t="str">
        <f>IFERROR(VLOOKUP(B396, '📋 PRODUCTS'!A:D, 4, FALSE), "")</f>
        <v/>
      </c>
      <c r="G396" s="37">
        <f t="shared" si="1"/>
        <v>0</v>
      </c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>
      <c r="A397" s="37"/>
      <c r="B397" s="37"/>
      <c r="C397" s="37" t="str">
        <f>IFERROR(VLOOKUP(B397, '📋 PRODUCTS'!A:D, 2, FALSE), "")</f>
        <v/>
      </c>
      <c r="D397" s="37" t="str">
        <f>IFERROR(VLOOKUP(B397, '📋 PRODUCTS'!A:D, 3, FALSE), "")</f>
        <v/>
      </c>
      <c r="E397" s="37"/>
      <c r="F397" s="37" t="str">
        <f>IFERROR(VLOOKUP(B397, '📋 PRODUCTS'!A:D, 4, FALSE), "")</f>
        <v/>
      </c>
      <c r="G397" s="37">
        <f t="shared" si="1"/>
        <v>0</v>
      </c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>
      <c r="A398" s="37"/>
      <c r="B398" s="37"/>
      <c r="C398" s="37" t="str">
        <f>IFERROR(VLOOKUP(B398, '📋 PRODUCTS'!A:D, 2, FALSE), "")</f>
        <v/>
      </c>
      <c r="D398" s="37" t="str">
        <f>IFERROR(VLOOKUP(B398, '📋 PRODUCTS'!A:D, 3, FALSE), "")</f>
        <v/>
      </c>
      <c r="E398" s="37"/>
      <c r="F398" s="37" t="str">
        <f>IFERROR(VLOOKUP(B398, '📋 PRODUCTS'!A:D, 4, FALSE), "")</f>
        <v/>
      </c>
      <c r="G398" s="37">
        <f t="shared" si="1"/>
        <v>0</v>
      </c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>
      <c r="A399" s="37"/>
      <c r="B399" s="37"/>
      <c r="C399" s="37" t="str">
        <f>IFERROR(VLOOKUP(B399, '📋 PRODUCTS'!A:D, 2, FALSE), "")</f>
        <v/>
      </c>
      <c r="D399" s="37" t="str">
        <f>IFERROR(VLOOKUP(B399, '📋 PRODUCTS'!A:D, 3, FALSE), "")</f>
        <v/>
      </c>
      <c r="E399" s="37"/>
      <c r="F399" s="37" t="str">
        <f>IFERROR(VLOOKUP(B399, '📋 PRODUCTS'!A:D, 4, FALSE), "")</f>
        <v/>
      </c>
      <c r="G399" s="37">
        <f t="shared" si="1"/>
        <v>0</v>
      </c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>
      <c r="A400" s="37"/>
      <c r="B400" s="37"/>
      <c r="C400" s="37" t="str">
        <f>IFERROR(VLOOKUP(B400, '📋 PRODUCTS'!A:D, 2, FALSE), "")</f>
        <v/>
      </c>
      <c r="D400" s="37" t="str">
        <f>IFERROR(VLOOKUP(B400, '📋 PRODUCTS'!A:D, 3, FALSE), "")</f>
        <v/>
      </c>
      <c r="E400" s="37"/>
      <c r="F400" s="37" t="str">
        <f>IFERROR(VLOOKUP(B400, '📋 PRODUCTS'!A:D, 4, FALSE), "")</f>
        <v/>
      </c>
      <c r="G400" s="37">
        <f t="shared" si="1"/>
        <v>0</v>
      </c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>
      <c r="A401" s="37"/>
      <c r="B401" s="37"/>
      <c r="C401" s="37" t="str">
        <f>IFERROR(VLOOKUP(B401, '📋 PRODUCTS'!A:D, 2, FALSE), "")</f>
        <v/>
      </c>
      <c r="D401" s="37" t="str">
        <f>IFERROR(VLOOKUP(B401, '📋 PRODUCTS'!A:D, 3, FALSE), "")</f>
        <v/>
      </c>
      <c r="E401" s="37"/>
      <c r="F401" s="37" t="str">
        <f>IFERROR(VLOOKUP(B401, '📋 PRODUCTS'!A:D, 4, FALSE), "")</f>
        <v/>
      </c>
      <c r="G401" s="37">
        <f t="shared" si="1"/>
        <v>0</v>
      </c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>
      <c r="A402" s="37"/>
      <c r="B402" s="37"/>
      <c r="C402" s="37" t="str">
        <f>IFERROR(VLOOKUP(B402, '📋 PRODUCTS'!A:D, 2, FALSE), "")</f>
        <v/>
      </c>
      <c r="D402" s="37" t="str">
        <f>IFERROR(VLOOKUP(B402, '📋 PRODUCTS'!A:D, 3, FALSE), "")</f>
        <v/>
      </c>
      <c r="E402" s="37"/>
      <c r="F402" s="37" t="str">
        <f>IFERROR(VLOOKUP(B402, '📋 PRODUCTS'!A:D, 4, FALSE), "")</f>
        <v/>
      </c>
      <c r="G402" s="37">
        <f t="shared" si="1"/>
        <v>0</v>
      </c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>
      <c r="A403" s="37"/>
      <c r="B403" s="37"/>
      <c r="C403" s="37" t="str">
        <f>IFERROR(VLOOKUP(B403, '📋 PRODUCTS'!A:D, 2, FALSE), "")</f>
        <v/>
      </c>
      <c r="D403" s="37" t="str">
        <f>IFERROR(VLOOKUP(B403, '📋 PRODUCTS'!A:D, 3, FALSE), "")</f>
        <v/>
      </c>
      <c r="E403" s="37"/>
      <c r="F403" s="37" t="str">
        <f>IFERROR(VLOOKUP(B403, '📋 PRODUCTS'!A:D, 4, FALSE), "")</f>
        <v/>
      </c>
      <c r="G403" s="37">
        <f t="shared" si="1"/>
        <v>0</v>
      </c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>
      <c r="A404" s="37"/>
      <c r="B404" s="37"/>
      <c r="C404" s="37" t="str">
        <f>IFERROR(VLOOKUP(B404, '📋 PRODUCTS'!A:D, 2, FALSE), "")</f>
        <v/>
      </c>
      <c r="D404" s="37" t="str">
        <f>IFERROR(VLOOKUP(B404, '📋 PRODUCTS'!A:D, 3, FALSE), "")</f>
        <v/>
      </c>
      <c r="E404" s="37"/>
      <c r="F404" s="37" t="str">
        <f>IFERROR(VLOOKUP(B404, '📋 PRODUCTS'!A:D, 4, FALSE), "")</f>
        <v/>
      </c>
      <c r="G404" s="37">
        <f t="shared" si="1"/>
        <v>0</v>
      </c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>
      <c r="A405" s="37"/>
      <c r="B405" s="37"/>
      <c r="C405" s="37" t="str">
        <f>IFERROR(VLOOKUP(B405, '📋 PRODUCTS'!A:D, 2, FALSE), "")</f>
        <v/>
      </c>
      <c r="D405" s="37" t="str">
        <f>IFERROR(VLOOKUP(B405, '📋 PRODUCTS'!A:D, 3, FALSE), "")</f>
        <v/>
      </c>
      <c r="E405" s="37"/>
      <c r="F405" s="37" t="str">
        <f>IFERROR(VLOOKUP(B405, '📋 PRODUCTS'!A:D, 4, FALSE), "")</f>
        <v/>
      </c>
      <c r="G405" s="37">
        <f t="shared" si="1"/>
        <v>0</v>
      </c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>
      <c r="A406" s="37"/>
      <c r="B406" s="37"/>
      <c r="C406" s="37" t="str">
        <f>IFERROR(VLOOKUP(B406, '📋 PRODUCTS'!A:D, 2, FALSE), "")</f>
        <v/>
      </c>
      <c r="D406" s="37" t="str">
        <f>IFERROR(VLOOKUP(B406, '📋 PRODUCTS'!A:D, 3, FALSE), "")</f>
        <v/>
      </c>
      <c r="E406" s="37"/>
      <c r="F406" s="37" t="str">
        <f>IFERROR(VLOOKUP(B406, '📋 PRODUCTS'!A:D, 4, FALSE), "")</f>
        <v/>
      </c>
      <c r="G406" s="37">
        <f t="shared" si="1"/>
        <v>0</v>
      </c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>
      <c r="A407" s="37"/>
      <c r="B407" s="37"/>
      <c r="C407" s="37" t="str">
        <f>IFERROR(VLOOKUP(B407, '📋 PRODUCTS'!A:D, 2, FALSE), "")</f>
        <v/>
      </c>
      <c r="D407" s="37" t="str">
        <f>IFERROR(VLOOKUP(B407, '📋 PRODUCTS'!A:D, 3, FALSE), "")</f>
        <v/>
      </c>
      <c r="E407" s="37"/>
      <c r="F407" s="37" t="str">
        <f>IFERROR(VLOOKUP(B407, '📋 PRODUCTS'!A:D, 4, FALSE), "")</f>
        <v/>
      </c>
      <c r="G407" s="37">
        <f t="shared" si="1"/>
        <v>0</v>
      </c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>
      <c r="A408" s="37"/>
      <c r="B408" s="37"/>
      <c r="C408" s="37" t="str">
        <f>IFERROR(VLOOKUP(B408, '📋 PRODUCTS'!A:D, 2, FALSE), "")</f>
        <v/>
      </c>
      <c r="D408" s="37" t="str">
        <f>IFERROR(VLOOKUP(B408, '📋 PRODUCTS'!A:D, 3, FALSE), "")</f>
        <v/>
      </c>
      <c r="E408" s="37"/>
      <c r="F408" s="37" t="str">
        <f>IFERROR(VLOOKUP(B408, '📋 PRODUCTS'!A:D, 4, FALSE), "")</f>
        <v/>
      </c>
      <c r="G408" s="37">
        <f t="shared" si="1"/>
        <v>0</v>
      </c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>
      <c r="A409" s="37"/>
      <c r="B409" s="37"/>
      <c r="C409" s="37" t="str">
        <f>IFERROR(VLOOKUP(B409, '📋 PRODUCTS'!A:D, 2, FALSE), "")</f>
        <v/>
      </c>
      <c r="D409" s="37" t="str">
        <f>IFERROR(VLOOKUP(B409, '📋 PRODUCTS'!A:D, 3, FALSE), "")</f>
        <v/>
      </c>
      <c r="E409" s="37"/>
      <c r="F409" s="37" t="str">
        <f>IFERROR(VLOOKUP(B409, '📋 PRODUCTS'!A:D, 4, FALSE), "")</f>
        <v/>
      </c>
      <c r="G409" s="37">
        <f t="shared" si="1"/>
        <v>0</v>
      </c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>
      <c r="A410" s="37"/>
      <c r="B410" s="37"/>
      <c r="C410" s="37" t="str">
        <f>IFERROR(VLOOKUP(B410, '📋 PRODUCTS'!A:D, 2, FALSE), "")</f>
        <v/>
      </c>
      <c r="D410" s="37" t="str">
        <f>IFERROR(VLOOKUP(B410, '📋 PRODUCTS'!A:D, 3, FALSE), "")</f>
        <v/>
      </c>
      <c r="E410" s="37"/>
      <c r="F410" s="37" t="str">
        <f>IFERROR(VLOOKUP(B410, '📋 PRODUCTS'!A:D, 4, FALSE), "")</f>
        <v/>
      </c>
      <c r="G410" s="37">
        <f t="shared" si="1"/>
        <v>0</v>
      </c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>
      <c r="A411" s="37"/>
      <c r="B411" s="37"/>
      <c r="C411" s="37" t="str">
        <f>IFERROR(VLOOKUP(B411, '📋 PRODUCTS'!A:D, 2, FALSE), "")</f>
        <v/>
      </c>
      <c r="D411" s="37" t="str">
        <f>IFERROR(VLOOKUP(B411, '📋 PRODUCTS'!A:D, 3, FALSE), "")</f>
        <v/>
      </c>
      <c r="E411" s="37"/>
      <c r="F411" s="37" t="str">
        <f>IFERROR(VLOOKUP(B411, '📋 PRODUCTS'!A:D, 4, FALSE), "")</f>
        <v/>
      </c>
      <c r="G411" s="37">
        <f t="shared" si="1"/>
        <v>0</v>
      </c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>
      <c r="A412" s="37"/>
      <c r="B412" s="37"/>
      <c r="C412" s="37" t="str">
        <f>IFERROR(VLOOKUP(B412, '📋 PRODUCTS'!A:D, 2, FALSE), "")</f>
        <v/>
      </c>
      <c r="D412" s="37" t="str">
        <f>IFERROR(VLOOKUP(B412, '📋 PRODUCTS'!A:D, 3, FALSE), "")</f>
        <v/>
      </c>
      <c r="E412" s="37"/>
      <c r="F412" s="37" t="str">
        <f>IFERROR(VLOOKUP(B412, '📋 PRODUCTS'!A:D, 4, FALSE), "")</f>
        <v/>
      </c>
      <c r="G412" s="37">
        <f t="shared" si="1"/>
        <v>0</v>
      </c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>
      <c r="A413" s="37"/>
      <c r="B413" s="37"/>
      <c r="C413" s="37" t="str">
        <f>IFERROR(VLOOKUP(B413, '📋 PRODUCTS'!A:D, 2, FALSE), "")</f>
        <v/>
      </c>
      <c r="D413" s="37" t="str">
        <f>IFERROR(VLOOKUP(B413, '📋 PRODUCTS'!A:D, 3, FALSE), "")</f>
        <v/>
      </c>
      <c r="E413" s="37"/>
      <c r="F413" s="37" t="str">
        <f>IFERROR(VLOOKUP(B413, '📋 PRODUCTS'!A:D, 4, FALSE), "")</f>
        <v/>
      </c>
      <c r="G413" s="37">
        <f t="shared" si="1"/>
        <v>0</v>
      </c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>
      <c r="A414" s="37"/>
      <c r="B414" s="37"/>
      <c r="C414" s="37" t="str">
        <f>IFERROR(VLOOKUP(B414, '📋 PRODUCTS'!A:D, 2, FALSE), "")</f>
        <v/>
      </c>
      <c r="D414" s="37" t="str">
        <f>IFERROR(VLOOKUP(B414, '📋 PRODUCTS'!A:D, 3, FALSE), "")</f>
        <v/>
      </c>
      <c r="E414" s="37"/>
      <c r="F414" s="37" t="str">
        <f>IFERROR(VLOOKUP(B414, '📋 PRODUCTS'!A:D, 4, FALSE), "")</f>
        <v/>
      </c>
      <c r="G414" s="37">
        <f t="shared" si="1"/>
        <v>0</v>
      </c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>
      <c r="A415" s="37"/>
      <c r="B415" s="37"/>
      <c r="C415" s="37" t="str">
        <f>IFERROR(VLOOKUP(B415, '📋 PRODUCTS'!A:D, 2, FALSE), "")</f>
        <v/>
      </c>
      <c r="D415" s="37" t="str">
        <f>IFERROR(VLOOKUP(B415, '📋 PRODUCTS'!A:D, 3, FALSE), "")</f>
        <v/>
      </c>
      <c r="E415" s="37"/>
      <c r="F415" s="37" t="str">
        <f>IFERROR(VLOOKUP(B415, '📋 PRODUCTS'!A:D, 4, FALSE), "")</f>
        <v/>
      </c>
      <c r="G415" s="37">
        <f t="shared" si="1"/>
        <v>0</v>
      </c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>
      <c r="A416" s="37"/>
      <c r="B416" s="37"/>
      <c r="C416" s="37" t="str">
        <f>IFERROR(VLOOKUP(B416, '📋 PRODUCTS'!A:D, 2, FALSE), "")</f>
        <v/>
      </c>
      <c r="D416" s="37" t="str">
        <f>IFERROR(VLOOKUP(B416, '📋 PRODUCTS'!A:D, 3, FALSE), "")</f>
        <v/>
      </c>
      <c r="E416" s="37"/>
      <c r="F416" s="37" t="str">
        <f>IFERROR(VLOOKUP(B416, '📋 PRODUCTS'!A:D, 4, FALSE), "")</f>
        <v/>
      </c>
      <c r="G416" s="37">
        <f t="shared" si="1"/>
        <v>0</v>
      </c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>
      <c r="A417" s="37"/>
      <c r="B417" s="37"/>
      <c r="C417" s="37" t="str">
        <f>IFERROR(VLOOKUP(B417, '📋 PRODUCTS'!A:D, 2, FALSE), "")</f>
        <v/>
      </c>
      <c r="D417" s="37" t="str">
        <f>IFERROR(VLOOKUP(B417, '📋 PRODUCTS'!A:D, 3, FALSE), "")</f>
        <v/>
      </c>
      <c r="E417" s="37"/>
      <c r="F417" s="37" t="str">
        <f>IFERROR(VLOOKUP(B417, '📋 PRODUCTS'!A:D, 4, FALSE), "")</f>
        <v/>
      </c>
      <c r="G417" s="37">
        <f t="shared" si="1"/>
        <v>0</v>
      </c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>
      <c r="A418" s="37"/>
      <c r="B418" s="37"/>
      <c r="C418" s="37" t="str">
        <f>IFERROR(VLOOKUP(B418, '📋 PRODUCTS'!A:D, 2, FALSE), "")</f>
        <v/>
      </c>
      <c r="D418" s="37" t="str">
        <f>IFERROR(VLOOKUP(B418, '📋 PRODUCTS'!A:D, 3, FALSE), "")</f>
        <v/>
      </c>
      <c r="E418" s="37"/>
      <c r="F418" s="37" t="str">
        <f>IFERROR(VLOOKUP(B418, '📋 PRODUCTS'!A:D, 4, FALSE), "")</f>
        <v/>
      </c>
      <c r="G418" s="37">
        <f t="shared" si="1"/>
        <v>0</v>
      </c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>
      <c r="A419" s="37"/>
      <c r="B419" s="37"/>
      <c r="C419" s="37" t="str">
        <f>IFERROR(VLOOKUP(B419, '📋 PRODUCTS'!A:D, 2, FALSE), "")</f>
        <v/>
      </c>
      <c r="D419" s="37" t="str">
        <f>IFERROR(VLOOKUP(B419, '📋 PRODUCTS'!A:D, 3, FALSE), "")</f>
        <v/>
      </c>
      <c r="E419" s="37"/>
      <c r="F419" s="37" t="str">
        <f>IFERROR(VLOOKUP(B419, '📋 PRODUCTS'!A:D, 4, FALSE), "")</f>
        <v/>
      </c>
      <c r="G419" s="37">
        <f t="shared" si="1"/>
        <v>0</v>
      </c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>
      <c r="A420" s="37"/>
      <c r="B420" s="37"/>
      <c r="C420" s="37" t="str">
        <f>IFERROR(VLOOKUP(B420, '📋 PRODUCTS'!A:D, 2, FALSE), "")</f>
        <v/>
      </c>
      <c r="D420" s="37" t="str">
        <f>IFERROR(VLOOKUP(B420, '📋 PRODUCTS'!A:D, 3, FALSE), "")</f>
        <v/>
      </c>
      <c r="E420" s="37"/>
      <c r="F420" s="37" t="str">
        <f>IFERROR(VLOOKUP(B420, '📋 PRODUCTS'!A:D, 4, FALSE), "")</f>
        <v/>
      </c>
      <c r="G420" s="37">
        <f t="shared" si="1"/>
        <v>0</v>
      </c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>
      <c r="A421" s="37"/>
      <c r="B421" s="37"/>
      <c r="C421" s="37" t="str">
        <f>IFERROR(VLOOKUP(B421, '📋 PRODUCTS'!A:D, 2, FALSE), "")</f>
        <v/>
      </c>
      <c r="D421" s="37" t="str">
        <f>IFERROR(VLOOKUP(B421, '📋 PRODUCTS'!A:D, 3, FALSE), "")</f>
        <v/>
      </c>
      <c r="E421" s="37"/>
      <c r="F421" s="37" t="str">
        <f>IFERROR(VLOOKUP(B421, '📋 PRODUCTS'!A:D, 4, FALSE), "")</f>
        <v/>
      </c>
      <c r="G421" s="37">
        <f t="shared" si="1"/>
        <v>0</v>
      </c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>
      <c r="A422" s="37"/>
      <c r="B422" s="37"/>
      <c r="C422" s="37" t="str">
        <f>IFERROR(VLOOKUP(B422, '📋 PRODUCTS'!A:D, 2, FALSE), "")</f>
        <v/>
      </c>
      <c r="D422" s="37" t="str">
        <f>IFERROR(VLOOKUP(B422, '📋 PRODUCTS'!A:D, 3, FALSE), "")</f>
        <v/>
      </c>
      <c r="E422" s="37"/>
      <c r="F422" s="37" t="str">
        <f>IFERROR(VLOOKUP(B422, '📋 PRODUCTS'!A:D, 4, FALSE), "")</f>
        <v/>
      </c>
      <c r="G422" s="37">
        <f t="shared" si="1"/>
        <v>0</v>
      </c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>
      <c r="A423" s="37"/>
      <c r="B423" s="37"/>
      <c r="C423" s="37" t="str">
        <f>IFERROR(VLOOKUP(B423, '📋 PRODUCTS'!A:D, 2, FALSE), "")</f>
        <v/>
      </c>
      <c r="D423" s="37" t="str">
        <f>IFERROR(VLOOKUP(B423, '📋 PRODUCTS'!A:D, 3, FALSE), "")</f>
        <v/>
      </c>
      <c r="E423" s="37"/>
      <c r="F423" s="37" t="str">
        <f>IFERROR(VLOOKUP(B423, '📋 PRODUCTS'!A:D, 4, FALSE), "")</f>
        <v/>
      </c>
      <c r="G423" s="37">
        <f t="shared" si="1"/>
        <v>0</v>
      </c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>
      <c r="A424" s="37"/>
      <c r="B424" s="37"/>
      <c r="C424" s="37" t="str">
        <f>IFERROR(VLOOKUP(B424, '📋 PRODUCTS'!A:D, 2, FALSE), "")</f>
        <v/>
      </c>
      <c r="D424" s="37" t="str">
        <f>IFERROR(VLOOKUP(B424, '📋 PRODUCTS'!A:D, 3, FALSE), "")</f>
        <v/>
      </c>
      <c r="E424" s="37"/>
      <c r="F424" s="37" t="str">
        <f>IFERROR(VLOOKUP(B424, '📋 PRODUCTS'!A:D, 4, FALSE), "")</f>
        <v/>
      </c>
      <c r="G424" s="37">
        <f t="shared" si="1"/>
        <v>0</v>
      </c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>
      <c r="A425" s="37"/>
      <c r="B425" s="37"/>
      <c r="C425" s="37" t="str">
        <f>IFERROR(VLOOKUP(B425, '📋 PRODUCTS'!A:D, 2, FALSE), "")</f>
        <v/>
      </c>
      <c r="D425" s="37" t="str">
        <f>IFERROR(VLOOKUP(B425, '📋 PRODUCTS'!A:D, 3, FALSE), "")</f>
        <v/>
      </c>
      <c r="E425" s="37"/>
      <c r="F425" s="37" t="str">
        <f>IFERROR(VLOOKUP(B425, '📋 PRODUCTS'!A:D, 4, FALSE), "")</f>
        <v/>
      </c>
      <c r="G425" s="37">
        <f t="shared" si="1"/>
        <v>0</v>
      </c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>
      <c r="A426" s="37"/>
      <c r="B426" s="37"/>
      <c r="C426" s="37" t="str">
        <f>IFERROR(VLOOKUP(B426, '📋 PRODUCTS'!A:D, 2, FALSE), "")</f>
        <v/>
      </c>
      <c r="D426" s="37" t="str">
        <f>IFERROR(VLOOKUP(B426, '📋 PRODUCTS'!A:D, 3, FALSE), "")</f>
        <v/>
      </c>
      <c r="E426" s="37"/>
      <c r="F426" s="37" t="str">
        <f>IFERROR(VLOOKUP(B426, '📋 PRODUCTS'!A:D, 4, FALSE), "")</f>
        <v/>
      </c>
      <c r="G426" s="37">
        <f t="shared" si="1"/>
        <v>0</v>
      </c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>
      <c r="A427" s="37"/>
      <c r="B427" s="37"/>
      <c r="C427" s="37" t="str">
        <f>IFERROR(VLOOKUP(B427, '📋 PRODUCTS'!A:D, 2, FALSE), "")</f>
        <v/>
      </c>
      <c r="D427" s="37" t="str">
        <f>IFERROR(VLOOKUP(B427, '📋 PRODUCTS'!A:D, 3, FALSE), "")</f>
        <v/>
      </c>
      <c r="E427" s="37"/>
      <c r="F427" s="37" t="str">
        <f>IFERROR(VLOOKUP(B427, '📋 PRODUCTS'!A:D, 4, FALSE), "")</f>
        <v/>
      </c>
      <c r="G427" s="37">
        <f t="shared" si="1"/>
        <v>0</v>
      </c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>
      <c r="A428" s="37"/>
      <c r="B428" s="37"/>
      <c r="C428" s="37" t="str">
        <f>IFERROR(VLOOKUP(B428, '📋 PRODUCTS'!A:D, 2, FALSE), "")</f>
        <v/>
      </c>
      <c r="D428" s="37" t="str">
        <f>IFERROR(VLOOKUP(B428, '📋 PRODUCTS'!A:D, 3, FALSE), "")</f>
        <v/>
      </c>
      <c r="E428" s="37"/>
      <c r="F428" s="37" t="str">
        <f>IFERROR(VLOOKUP(B428, '📋 PRODUCTS'!A:D, 4, FALSE), "")</f>
        <v/>
      </c>
      <c r="G428" s="37">
        <f t="shared" si="1"/>
        <v>0</v>
      </c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>
      <c r="A429" s="37"/>
      <c r="B429" s="37"/>
      <c r="C429" s="37" t="str">
        <f>IFERROR(VLOOKUP(B429, '📋 PRODUCTS'!A:D, 2, FALSE), "")</f>
        <v/>
      </c>
      <c r="D429" s="37" t="str">
        <f>IFERROR(VLOOKUP(B429, '📋 PRODUCTS'!A:D, 3, FALSE), "")</f>
        <v/>
      </c>
      <c r="E429" s="37"/>
      <c r="F429" s="37" t="str">
        <f>IFERROR(VLOOKUP(B429, '📋 PRODUCTS'!A:D, 4, FALSE), "")</f>
        <v/>
      </c>
      <c r="G429" s="37">
        <f t="shared" si="1"/>
        <v>0</v>
      </c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>
      <c r="A430" s="37"/>
      <c r="B430" s="37"/>
      <c r="C430" s="37" t="str">
        <f>IFERROR(VLOOKUP(B430, '📋 PRODUCTS'!A:D, 2, FALSE), "")</f>
        <v/>
      </c>
      <c r="D430" s="37" t="str">
        <f>IFERROR(VLOOKUP(B430, '📋 PRODUCTS'!A:D, 3, FALSE), "")</f>
        <v/>
      </c>
      <c r="E430" s="37"/>
      <c r="F430" s="37" t="str">
        <f>IFERROR(VLOOKUP(B430, '📋 PRODUCTS'!A:D, 4, FALSE), "")</f>
        <v/>
      </c>
      <c r="G430" s="37">
        <f t="shared" si="1"/>
        <v>0</v>
      </c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>
      <c r="A431" s="37"/>
      <c r="B431" s="37"/>
      <c r="C431" s="37" t="str">
        <f>IFERROR(VLOOKUP(B431, '📋 PRODUCTS'!A:D, 2, FALSE), "")</f>
        <v/>
      </c>
      <c r="D431" s="37" t="str">
        <f>IFERROR(VLOOKUP(B431, '📋 PRODUCTS'!A:D, 3, FALSE), "")</f>
        <v/>
      </c>
      <c r="E431" s="37"/>
      <c r="F431" s="37" t="str">
        <f>IFERROR(VLOOKUP(B431, '📋 PRODUCTS'!A:D, 4, FALSE), "")</f>
        <v/>
      </c>
      <c r="G431" s="37">
        <f t="shared" si="1"/>
        <v>0</v>
      </c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>
      <c r="A432" s="37"/>
      <c r="B432" s="37"/>
      <c r="C432" s="37" t="str">
        <f>IFERROR(VLOOKUP(B432, '📋 PRODUCTS'!A:D, 2, FALSE), "")</f>
        <v/>
      </c>
      <c r="D432" s="37" t="str">
        <f>IFERROR(VLOOKUP(B432, '📋 PRODUCTS'!A:D, 3, FALSE), "")</f>
        <v/>
      </c>
      <c r="E432" s="37"/>
      <c r="F432" s="37" t="str">
        <f>IFERROR(VLOOKUP(B432, '📋 PRODUCTS'!A:D, 4, FALSE), "")</f>
        <v/>
      </c>
      <c r="G432" s="37">
        <f t="shared" si="1"/>
        <v>0</v>
      </c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>
      <c r="A433" s="37"/>
      <c r="B433" s="37"/>
      <c r="C433" s="37" t="str">
        <f>IFERROR(VLOOKUP(B433, '📋 PRODUCTS'!A:D, 2, FALSE), "")</f>
        <v/>
      </c>
      <c r="D433" s="37" t="str">
        <f>IFERROR(VLOOKUP(B433, '📋 PRODUCTS'!A:D, 3, FALSE), "")</f>
        <v/>
      </c>
      <c r="E433" s="37"/>
      <c r="F433" s="37" t="str">
        <f>IFERROR(VLOOKUP(B433, '📋 PRODUCTS'!A:D, 4, FALSE), "")</f>
        <v/>
      </c>
      <c r="G433" s="37">
        <f t="shared" si="1"/>
        <v>0</v>
      </c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>
      <c r="A434" s="37"/>
      <c r="B434" s="37"/>
      <c r="C434" s="37" t="str">
        <f>IFERROR(VLOOKUP(B434, '📋 PRODUCTS'!A:D, 2, FALSE), "")</f>
        <v/>
      </c>
      <c r="D434" s="37" t="str">
        <f>IFERROR(VLOOKUP(B434, '📋 PRODUCTS'!A:D, 3, FALSE), "")</f>
        <v/>
      </c>
      <c r="E434" s="37"/>
      <c r="F434" s="37" t="str">
        <f>IFERROR(VLOOKUP(B434, '📋 PRODUCTS'!A:D, 4, FALSE), "")</f>
        <v/>
      </c>
      <c r="G434" s="37">
        <f t="shared" si="1"/>
        <v>0</v>
      </c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>
      <c r="A435" s="37"/>
      <c r="B435" s="37"/>
      <c r="C435" s="37" t="str">
        <f>IFERROR(VLOOKUP(B435, '📋 PRODUCTS'!A:D, 2, FALSE), "")</f>
        <v/>
      </c>
      <c r="D435" s="37" t="str">
        <f>IFERROR(VLOOKUP(B435, '📋 PRODUCTS'!A:D, 3, FALSE), "")</f>
        <v/>
      </c>
      <c r="E435" s="37"/>
      <c r="F435" s="37" t="str">
        <f>IFERROR(VLOOKUP(B435, '📋 PRODUCTS'!A:D, 4, FALSE), "")</f>
        <v/>
      </c>
      <c r="G435" s="37">
        <f t="shared" si="1"/>
        <v>0</v>
      </c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>
      <c r="A436" s="37"/>
      <c r="B436" s="37"/>
      <c r="C436" s="37" t="str">
        <f>IFERROR(VLOOKUP(B436, '📋 PRODUCTS'!A:D, 2, FALSE), "")</f>
        <v/>
      </c>
      <c r="D436" s="37" t="str">
        <f>IFERROR(VLOOKUP(B436, '📋 PRODUCTS'!A:D, 3, FALSE), "")</f>
        <v/>
      </c>
      <c r="E436" s="37"/>
      <c r="F436" s="37" t="str">
        <f>IFERROR(VLOOKUP(B436, '📋 PRODUCTS'!A:D, 4, FALSE), "")</f>
        <v/>
      </c>
      <c r="G436" s="37">
        <f t="shared" si="1"/>
        <v>0</v>
      </c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>
      <c r="A437" s="37"/>
      <c r="B437" s="37"/>
      <c r="C437" s="37" t="str">
        <f>IFERROR(VLOOKUP(B437, '📋 PRODUCTS'!A:D, 2, FALSE), "")</f>
        <v/>
      </c>
      <c r="D437" s="37" t="str">
        <f>IFERROR(VLOOKUP(B437, '📋 PRODUCTS'!A:D, 3, FALSE), "")</f>
        <v/>
      </c>
      <c r="E437" s="37"/>
      <c r="F437" s="37" t="str">
        <f>IFERROR(VLOOKUP(B437, '📋 PRODUCTS'!A:D, 4, FALSE), "")</f>
        <v/>
      </c>
      <c r="G437" s="37">
        <f t="shared" si="1"/>
        <v>0</v>
      </c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>
      <c r="A438" s="37"/>
      <c r="B438" s="37"/>
      <c r="C438" s="37" t="str">
        <f>IFERROR(VLOOKUP(B438, '📋 PRODUCTS'!A:D, 2, FALSE), "")</f>
        <v/>
      </c>
      <c r="D438" s="37" t="str">
        <f>IFERROR(VLOOKUP(B438, '📋 PRODUCTS'!A:D, 3, FALSE), "")</f>
        <v/>
      </c>
      <c r="E438" s="37"/>
      <c r="F438" s="37" t="str">
        <f>IFERROR(VLOOKUP(B438, '📋 PRODUCTS'!A:D, 4, FALSE), "")</f>
        <v/>
      </c>
      <c r="G438" s="37">
        <f t="shared" si="1"/>
        <v>0</v>
      </c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>
      <c r="A439" s="37"/>
      <c r="B439" s="37"/>
      <c r="C439" s="37" t="str">
        <f>IFERROR(VLOOKUP(B439, '📋 PRODUCTS'!A:D, 2, FALSE), "")</f>
        <v/>
      </c>
      <c r="D439" s="37" t="str">
        <f>IFERROR(VLOOKUP(B439, '📋 PRODUCTS'!A:D, 3, FALSE), "")</f>
        <v/>
      </c>
      <c r="E439" s="37"/>
      <c r="F439" s="37" t="str">
        <f>IFERROR(VLOOKUP(B439, '📋 PRODUCTS'!A:D, 4, FALSE), "")</f>
        <v/>
      </c>
      <c r="G439" s="37">
        <f t="shared" si="1"/>
        <v>0</v>
      </c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>
      <c r="A440" s="37"/>
      <c r="B440" s="37"/>
      <c r="C440" s="37" t="str">
        <f>IFERROR(VLOOKUP(B440, '📋 PRODUCTS'!A:D, 2, FALSE), "")</f>
        <v/>
      </c>
      <c r="D440" s="37" t="str">
        <f>IFERROR(VLOOKUP(B440, '📋 PRODUCTS'!A:D, 3, FALSE), "")</f>
        <v/>
      </c>
      <c r="E440" s="37"/>
      <c r="F440" s="37" t="str">
        <f>IFERROR(VLOOKUP(B440, '📋 PRODUCTS'!A:D, 4, FALSE), "")</f>
        <v/>
      </c>
      <c r="G440" s="37">
        <f t="shared" si="1"/>
        <v>0</v>
      </c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>
      <c r="A441" s="37"/>
      <c r="B441" s="37"/>
      <c r="C441" s="37" t="str">
        <f>IFERROR(VLOOKUP(B441, '📋 PRODUCTS'!A:D, 2, FALSE), "")</f>
        <v/>
      </c>
      <c r="D441" s="37" t="str">
        <f>IFERROR(VLOOKUP(B441, '📋 PRODUCTS'!A:D, 3, FALSE), "")</f>
        <v/>
      </c>
      <c r="E441" s="37"/>
      <c r="F441" s="37" t="str">
        <f>IFERROR(VLOOKUP(B441, '📋 PRODUCTS'!A:D, 4, FALSE), "")</f>
        <v/>
      </c>
      <c r="G441" s="37">
        <f t="shared" si="1"/>
        <v>0</v>
      </c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>
      <c r="A442" s="37"/>
      <c r="B442" s="37"/>
      <c r="C442" s="37" t="str">
        <f>IFERROR(VLOOKUP(B442, '📋 PRODUCTS'!A:D, 2, FALSE), "")</f>
        <v/>
      </c>
      <c r="D442" s="37" t="str">
        <f>IFERROR(VLOOKUP(B442, '📋 PRODUCTS'!A:D, 3, FALSE), "")</f>
        <v/>
      </c>
      <c r="E442" s="37"/>
      <c r="F442" s="37" t="str">
        <f>IFERROR(VLOOKUP(B442, '📋 PRODUCTS'!A:D, 4, FALSE), "")</f>
        <v/>
      </c>
      <c r="G442" s="37">
        <f t="shared" si="1"/>
        <v>0</v>
      </c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>
      <c r="A443" s="37"/>
      <c r="B443" s="37"/>
      <c r="C443" s="37" t="str">
        <f>IFERROR(VLOOKUP(B443, '📋 PRODUCTS'!A:D, 2, FALSE), "")</f>
        <v/>
      </c>
      <c r="D443" s="37" t="str">
        <f>IFERROR(VLOOKUP(B443, '📋 PRODUCTS'!A:D, 3, FALSE), "")</f>
        <v/>
      </c>
      <c r="E443" s="37"/>
      <c r="F443" s="37" t="str">
        <f>IFERROR(VLOOKUP(B443, '📋 PRODUCTS'!A:D, 4, FALSE), "")</f>
        <v/>
      </c>
      <c r="G443" s="37">
        <f t="shared" si="1"/>
        <v>0</v>
      </c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>
      <c r="A444" s="37"/>
      <c r="B444" s="37"/>
      <c r="C444" s="37" t="str">
        <f>IFERROR(VLOOKUP(B444, '📋 PRODUCTS'!A:D, 2, FALSE), "")</f>
        <v/>
      </c>
      <c r="D444" s="37" t="str">
        <f>IFERROR(VLOOKUP(B444, '📋 PRODUCTS'!A:D, 3, FALSE), "")</f>
        <v/>
      </c>
      <c r="E444" s="37"/>
      <c r="F444" s="37" t="str">
        <f>IFERROR(VLOOKUP(B444, '📋 PRODUCTS'!A:D, 4, FALSE), "")</f>
        <v/>
      </c>
      <c r="G444" s="37">
        <f t="shared" si="1"/>
        <v>0</v>
      </c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>
      <c r="A445" s="37"/>
      <c r="B445" s="37"/>
      <c r="C445" s="37" t="str">
        <f>IFERROR(VLOOKUP(B445, '📋 PRODUCTS'!A:D, 2, FALSE), "")</f>
        <v/>
      </c>
      <c r="D445" s="37" t="str">
        <f>IFERROR(VLOOKUP(B445, '📋 PRODUCTS'!A:D, 3, FALSE), "")</f>
        <v/>
      </c>
      <c r="E445" s="37"/>
      <c r="F445" s="37" t="str">
        <f>IFERROR(VLOOKUP(B445, '📋 PRODUCTS'!A:D, 4, FALSE), "")</f>
        <v/>
      </c>
      <c r="G445" s="37">
        <f t="shared" si="1"/>
        <v>0</v>
      </c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>
      <c r="A446" s="37"/>
      <c r="B446" s="37"/>
      <c r="C446" s="37" t="str">
        <f>IFERROR(VLOOKUP(B446, '📋 PRODUCTS'!A:D, 2, FALSE), "")</f>
        <v/>
      </c>
      <c r="D446" s="37" t="str">
        <f>IFERROR(VLOOKUP(B446, '📋 PRODUCTS'!A:D, 3, FALSE), "")</f>
        <v/>
      </c>
      <c r="E446" s="37"/>
      <c r="F446" s="37" t="str">
        <f>IFERROR(VLOOKUP(B446, '📋 PRODUCTS'!A:D, 4, FALSE), "")</f>
        <v/>
      </c>
      <c r="G446" s="37">
        <f t="shared" si="1"/>
        <v>0</v>
      </c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>
      <c r="A447" s="37"/>
      <c r="B447" s="37"/>
      <c r="C447" s="37" t="str">
        <f>IFERROR(VLOOKUP(B447, '📋 PRODUCTS'!A:D, 2, FALSE), "")</f>
        <v/>
      </c>
      <c r="D447" s="37" t="str">
        <f>IFERROR(VLOOKUP(B447, '📋 PRODUCTS'!A:D, 3, FALSE), "")</f>
        <v/>
      </c>
      <c r="E447" s="37"/>
      <c r="F447" s="37" t="str">
        <f>IFERROR(VLOOKUP(B447, '📋 PRODUCTS'!A:D, 4, FALSE), "")</f>
        <v/>
      </c>
      <c r="G447" s="37">
        <f t="shared" si="1"/>
        <v>0</v>
      </c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>
      <c r="A448" s="37"/>
      <c r="B448" s="37"/>
      <c r="C448" s="37" t="str">
        <f>IFERROR(VLOOKUP(B448, '📋 PRODUCTS'!A:D, 2, FALSE), "")</f>
        <v/>
      </c>
      <c r="D448" s="37" t="str">
        <f>IFERROR(VLOOKUP(B448, '📋 PRODUCTS'!A:D, 3, FALSE), "")</f>
        <v/>
      </c>
      <c r="E448" s="37"/>
      <c r="F448" s="37" t="str">
        <f>IFERROR(VLOOKUP(B448, '📋 PRODUCTS'!A:D, 4, FALSE), "")</f>
        <v/>
      </c>
      <c r="G448" s="37">
        <f t="shared" si="1"/>
        <v>0</v>
      </c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>
      <c r="A449" s="37"/>
      <c r="B449" s="37"/>
      <c r="C449" s="37" t="str">
        <f>IFERROR(VLOOKUP(B449, '📋 PRODUCTS'!A:D, 2, FALSE), "")</f>
        <v/>
      </c>
      <c r="D449" s="37" t="str">
        <f>IFERROR(VLOOKUP(B449, '📋 PRODUCTS'!A:D, 3, FALSE), "")</f>
        <v/>
      </c>
      <c r="E449" s="37"/>
      <c r="F449" s="37" t="str">
        <f>IFERROR(VLOOKUP(B449, '📋 PRODUCTS'!A:D, 4, FALSE), "")</f>
        <v/>
      </c>
      <c r="G449" s="37">
        <f t="shared" si="1"/>
        <v>0</v>
      </c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>
      <c r="A450" s="37"/>
      <c r="B450" s="37"/>
      <c r="C450" s="37" t="str">
        <f>IFERROR(VLOOKUP(B450, '📋 PRODUCTS'!A:D, 2, FALSE), "")</f>
        <v/>
      </c>
      <c r="D450" s="37" t="str">
        <f>IFERROR(VLOOKUP(B450, '📋 PRODUCTS'!A:D, 3, FALSE), "")</f>
        <v/>
      </c>
      <c r="E450" s="37"/>
      <c r="F450" s="37" t="str">
        <f>IFERROR(VLOOKUP(B450, '📋 PRODUCTS'!A:D, 4, FALSE), "")</f>
        <v/>
      </c>
      <c r="G450" s="37">
        <f t="shared" si="1"/>
        <v>0</v>
      </c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>
      <c r="A451" s="37"/>
      <c r="B451" s="37"/>
      <c r="C451" s="37" t="str">
        <f>IFERROR(VLOOKUP(B451, '📋 PRODUCTS'!A:D, 2, FALSE), "")</f>
        <v/>
      </c>
      <c r="D451" s="37" t="str">
        <f>IFERROR(VLOOKUP(B451, '📋 PRODUCTS'!A:D, 3, FALSE), "")</f>
        <v/>
      </c>
      <c r="E451" s="37"/>
      <c r="F451" s="37" t="str">
        <f>IFERROR(VLOOKUP(B451, '📋 PRODUCTS'!A:D, 4, FALSE), "")</f>
        <v/>
      </c>
      <c r="G451" s="37">
        <f t="shared" si="1"/>
        <v>0</v>
      </c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>
      <c r="A452" s="37"/>
      <c r="B452" s="37"/>
      <c r="C452" s="37" t="str">
        <f>IFERROR(VLOOKUP(B452, '📋 PRODUCTS'!A:D, 2, FALSE), "")</f>
        <v/>
      </c>
      <c r="D452" s="37" t="str">
        <f>IFERROR(VLOOKUP(B452, '📋 PRODUCTS'!A:D, 3, FALSE), "")</f>
        <v/>
      </c>
      <c r="E452" s="37"/>
      <c r="F452" s="37" t="str">
        <f>IFERROR(VLOOKUP(B452, '📋 PRODUCTS'!A:D, 4, FALSE), "")</f>
        <v/>
      </c>
      <c r="G452" s="37">
        <f t="shared" si="1"/>
        <v>0</v>
      </c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>
      <c r="A453" s="37"/>
      <c r="B453" s="37"/>
      <c r="C453" s="37" t="str">
        <f>IFERROR(VLOOKUP(B453, '📋 PRODUCTS'!A:D, 2, FALSE), "")</f>
        <v/>
      </c>
      <c r="D453" s="37" t="str">
        <f>IFERROR(VLOOKUP(B453, '📋 PRODUCTS'!A:D, 3, FALSE), "")</f>
        <v/>
      </c>
      <c r="E453" s="37"/>
      <c r="F453" s="37" t="str">
        <f>IFERROR(VLOOKUP(B453, '📋 PRODUCTS'!A:D, 4, FALSE), "")</f>
        <v/>
      </c>
      <c r="G453" s="37">
        <f t="shared" si="1"/>
        <v>0</v>
      </c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>
      <c r="A454" s="37"/>
      <c r="B454" s="37"/>
      <c r="C454" s="37" t="str">
        <f>IFERROR(VLOOKUP(B454, '📋 PRODUCTS'!A:D, 2, FALSE), "")</f>
        <v/>
      </c>
      <c r="D454" s="37" t="str">
        <f>IFERROR(VLOOKUP(B454, '📋 PRODUCTS'!A:D, 3, FALSE), "")</f>
        <v/>
      </c>
      <c r="E454" s="37"/>
      <c r="F454" s="37" t="str">
        <f>IFERROR(VLOOKUP(B454, '📋 PRODUCTS'!A:D, 4, FALSE), "")</f>
        <v/>
      </c>
      <c r="G454" s="37">
        <f t="shared" si="1"/>
        <v>0</v>
      </c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>
      <c r="A455" s="37"/>
      <c r="B455" s="37"/>
      <c r="C455" s="37" t="str">
        <f>IFERROR(VLOOKUP(B455, '📋 PRODUCTS'!A:D, 2, FALSE), "")</f>
        <v/>
      </c>
      <c r="D455" s="37" t="str">
        <f>IFERROR(VLOOKUP(B455, '📋 PRODUCTS'!A:D, 3, FALSE), "")</f>
        <v/>
      </c>
      <c r="E455" s="37"/>
      <c r="F455" s="37" t="str">
        <f>IFERROR(VLOOKUP(B455, '📋 PRODUCTS'!A:D, 4, FALSE), "")</f>
        <v/>
      </c>
      <c r="G455" s="37">
        <f t="shared" si="1"/>
        <v>0</v>
      </c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>
      <c r="A456" s="37"/>
      <c r="B456" s="37"/>
      <c r="C456" s="37" t="str">
        <f>IFERROR(VLOOKUP(B456, '📋 PRODUCTS'!A:D, 2, FALSE), "")</f>
        <v/>
      </c>
      <c r="D456" s="37" t="str">
        <f>IFERROR(VLOOKUP(B456, '📋 PRODUCTS'!A:D, 3, FALSE), "")</f>
        <v/>
      </c>
      <c r="E456" s="37"/>
      <c r="F456" s="37" t="str">
        <f>IFERROR(VLOOKUP(B456, '📋 PRODUCTS'!A:D, 4, FALSE), "")</f>
        <v/>
      </c>
      <c r="G456" s="37">
        <f t="shared" si="1"/>
        <v>0</v>
      </c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>
      <c r="A457" s="37"/>
      <c r="B457" s="37"/>
      <c r="C457" s="37" t="str">
        <f>IFERROR(VLOOKUP(B457, '📋 PRODUCTS'!A:D, 2, FALSE), "")</f>
        <v/>
      </c>
      <c r="D457" s="37" t="str">
        <f>IFERROR(VLOOKUP(B457, '📋 PRODUCTS'!A:D, 3, FALSE), "")</f>
        <v/>
      </c>
      <c r="E457" s="37"/>
      <c r="F457" s="37" t="str">
        <f>IFERROR(VLOOKUP(B457, '📋 PRODUCTS'!A:D, 4, FALSE), "")</f>
        <v/>
      </c>
      <c r="G457" s="37">
        <f t="shared" si="1"/>
        <v>0</v>
      </c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>
      <c r="A458" s="37"/>
      <c r="B458" s="37"/>
      <c r="C458" s="37" t="str">
        <f>IFERROR(VLOOKUP(B458, '📋 PRODUCTS'!A:D, 2, FALSE), "")</f>
        <v/>
      </c>
      <c r="D458" s="37" t="str">
        <f>IFERROR(VLOOKUP(B458, '📋 PRODUCTS'!A:D, 3, FALSE), "")</f>
        <v/>
      </c>
      <c r="E458" s="37"/>
      <c r="F458" s="37" t="str">
        <f>IFERROR(VLOOKUP(B458, '📋 PRODUCTS'!A:D, 4, FALSE), "")</f>
        <v/>
      </c>
      <c r="G458" s="37">
        <f t="shared" si="1"/>
        <v>0</v>
      </c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>
      <c r="A459" s="37"/>
      <c r="B459" s="37"/>
      <c r="C459" s="37" t="str">
        <f>IFERROR(VLOOKUP(B459, '📋 PRODUCTS'!A:D, 2, FALSE), "")</f>
        <v/>
      </c>
      <c r="D459" s="37" t="str">
        <f>IFERROR(VLOOKUP(B459, '📋 PRODUCTS'!A:D, 3, FALSE), "")</f>
        <v/>
      </c>
      <c r="E459" s="37"/>
      <c r="F459" s="37" t="str">
        <f>IFERROR(VLOOKUP(B459, '📋 PRODUCTS'!A:D, 4, FALSE), "")</f>
        <v/>
      </c>
      <c r="G459" s="37">
        <f t="shared" si="1"/>
        <v>0</v>
      </c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>
      <c r="A460" s="37"/>
      <c r="B460" s="37"/>
      <c r="C460" s="37" t="str">
        <f>IFERROR(VLOOKUP(B460, '📋 PRODUCTS'!A:D, 2, FALSE), "")</f>
        <v/>
      </c>
      <c r="D460" s="37" t="str">
        <f>IFERROR(VLOOKUP(B460, '📋 PRODUCTS'!A:D, 3, FALSE), "")</f>
        <v/>
      </c>
      <c r="E460" s="37"/>
      <c r="F460" s="37" t="str">
        <f>IFERROR(VLOOKUP(B460, '📋 PRODUCTS'!A:D, 4, FALSE), "")</f>
        <v/>
      </c>
      <c r="G460" s="37">
        <f t="shared" si="1"/>
        <v>0</v>
      </c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>
      <c r="A461" s="37"/>
      <c r="B461" s="37"/>
      <c r="C461" s="37" t="str">
        <f>IFERROR(VLOOKUP(B461, '📋 PRODUCTS'!A:D, 2, FALSE), "")</f>
        <v/>
      </c>
      <c r="D461" s="37" t="str">
        <f>IFERROR(VLOOKUP(B461, '📋 PRODUCTS'!A:D, 3, FALSE), "")</f>
        <v/>
      </c>
      <c r="E461" s="37"/>
      <c r="F461" s="37" t="str">
        <f>IFERROR(VLOOKUP(B461, '📋 PRODUCTS'!A:D, 4, FALSE), "")</f>
        <v/>
      </c>
      <c r="G461" s="37">
        <f t="shared" si="1"/>
        <v>0</v>
      </c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>
      <c r="A462" s="37"/>
      <c r="B462" s="37"/>
      <c r="C462" s="37" t="str">
        <f>IFERROR(VLOOKUP(B462, '📋 PRODUCTS'!A:D, 2, FALSE), "")</f>
        <v/>
      </c>
      <c r="D462" s="37" t="str">
        <f>IFERROR(VLOOKUP(B462, '📋 PRODUCTS'!A:D, 3, FALSE), "")</f>
        <v/>
      </c>
      <c r="E462" s="37"/>
      <c r="F462" s="37" t="str">
        <f>IFERROR(VLOOKUP(B462, '📋 PRODUCTS'!A:D, 4, FALSE), "")</f>
        <v/>
      </c>
      <c r="G462" s="37">
        <f t="shared" si="1"/>
        <v>0</v>
      </c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>
      <c r="A463" s="37"/>
      <c r="B463" s="37"/>
      <c r="C463" s="37" t="str">
        <f>IFERROR(VLOOKUP(B463, '📋 PRODUCTS'!A:D, 2, FALSE), "")</f>
        <v/>
      </c>
      <c r="D463" s="37" t="str">
        <f>IFERROR(VLOOKUP(B463, '📋 PRODUCTS'!A:D, 3, FALSE), "")</f>
        <v/>
      </c>
      <c r="E463" s="37"/>
      <c r="F463" s="37" t="str">
        <f>IFERROR(VLOOKUP(B463, '📋 PRODUCTS'!A:D, 4, FALSE), "")</f>
        <v/>
      </c>
      <c r="G463" s="37">
        <f t="shared" si="1"/>
        <v>0</v>
      </c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>
      <c r="A464" s="37"/>
      <c r="B464" s="37"/>
      <c r="C464" s="37" t="str">
        <f>IFERROR(VLOOKUP(B464, '📋 PRODUCTS'!A:D, 2, FALSE), "")</f>
        <v/>
      </c>
      <c r="D464" s="37" t="str">
        <f>IFERROR(VLOOKUP(B464, '📋 PRODUCTS'!A:D, 3, FALSE), "")</f>
        <v/>
      </c>
      <c r="E464" s="37"/>
      <c r="F464" s="37" t="str">
        <f>IFERROR(VLOOKUP(B464, '📋 PRODUCTS'!A:D, 4, FALSE), "")</f>
        <v/>
      </c>
      <c r="G464" s="37">
        <f t="shared" si="1"/>
        <v>0</v>
      </c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>
      <c r="A465" s="37"/>
      <c r="B465" s="37"/>
      <c r="C465" s="37" t="str">
        <f>IFERROR(VLOOKUP(B465, '📋 PRODUCTS'!A:D, 2, FALSE), "")</f>
        <v/>
      </c>
      <c r="D465" s="37" t="str">
        <f>IFERROR(VLOOKUP(B465, '📋 PRODUCTS'!A:D, 3, FALSE), "")</f>
        <v/>
      </c>
      <c r="E465" s="37"/>
      <c r="F465" s="37" t="str">
        <f>IFERROR(VLOOKUP(B465, '📋 PRODUCTS'!A:D, 4, FALSE), "")</f>
        <v/>
      </c>
      <c r="G465" s="37">
        <f t="shared" si="1"/>
        <v>0</v>
      </c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>
      <c r="A466" s="37"/>
      <c r="B466" s="37"/>
      <c r="C466" s="37" t="str">
        <f>IFERROR(VLOOKUP(B466, '📋 PRODUCTS'!A:D, 2, FALSE), "")</f>
        <v/>
      </c>
      <c r="D466" s="37" t="str">
        <f>IFERROR(VLOOKUP(B466, '📋 PRODUCTS'!A:D, 3, FALSE), "")</f>
        <v/>
      </c>
      <c r="E466" s="37"/>
      <c r="F466" s="37" t="str">
        <f>IFERROR(VLOOKUP(B466, '📋 PRODUCTS'!A:D, 4, FALSE), "")</f>
        <v/>
      </c>
      <c r="G466" s="37">
        <f t="shared" si="1"/>
        <v>0</v>
      </c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>
      <c r="A467" s="37"/>
      <c r="B467" s="37"/>
      <c r="C467" s="37" t="str">
        <f>IFERROR(VLOOKUP(B467, '📋 PRODUCTS'!A:D, 2, FALSE), "")</f>
        <v/>
      </c>
      <c r="D467" s="37" t="str">
        <f>IFERROR(VLOOKUP(B467, '📋 PRODUCTS'!A:D, 3, FALSE), "")</f>
        <v/>
      </c>
      <c r="E467" s="37"/>
      <c r="F467" s="37" t="str">
        <f>IFERROR(VLOOKUP(B467, '📋 PRODUCTS'!A:D, 4, FALSE), "")</f>
        <v/>
      </c>
      <c r="G467" s="37">
        <f t="shared" si="1"/>
        <v>0</v>
      </c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>
      <c r="A468" s="37"/>
      <c r="B468" s="37"/>
      <c r="C468" s="37" t="str">
        <f>IFERROR(VLOOKUP(B468, '📋 PRODUCTS'!A:D, 2, FALSE), "")</f>
        <v/>
      </c>
      <c r="D468" s="37" t="str">
        <f>IFERROR(VLOOKUP(B468, '📋 PRODUCTS'!A:D, 3, FALSE), "")</f>
        <v/>
      </c>
      <c r="E468" s="37"/>
      <c r="F468" s="37" t="str">
        <f>IFERROR(VLOOKUP(B468, '📋 PRODUCTS'!A:D, 4, FALSE), "")</f>
        <v/>
      </c>
      <c r="G468" s="37">
        <f t="shared" si="1"/>
        <v>0</v>
      </c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>
      <c r="A469" s="37"/>
      <c r="B469" s="37"/>
      <c r="C469" s="37" t="str">
        <f>IFERROR(VLOOKUP(B469, '📋 PRODUCTS'!A:D, 2, FALSE), "")</f>
        <v/>
      </c>
      <c r="D469" s="37" t="str">
        <f>IFERROR(VLOOKUP(B469, '📋 PRODUCTS'!A:D, 3, FALSE), "")</f>
        <v/>
      </c>
      <c r="E469" s="37"/>
      <c r="F469" s="37" t="str">
        <f>IFERROR(VLOOKUP(B469, '📋 PRODUCTS'!A:D, 4, FALSE), "")</f>
        <v/>
      </c>
      <c r="G469" s="37">
        <f t="shared" si="1"/>
        <v>0</v>
      </c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>
      <c r="A470" s="37"/>
      <c r="B470" s="37"/>
      <c r="C470" s="37" t="str">
        <f>IFERROR(VLOOKUP(B470, '📋 PRODUCTS'!A:D, 2, FALSE), "")</f>
        <v/>
      </c>
      <c r="D470" s="37" t="str">
        <f>IFERROR(VLOOKUP(B470, '📋 PRODUCTS'!A:D, 3, FALSE), "")</f>
        <v/>
      </c>
      <c r="E470" s="37"/>
      <c r="F470" s="37" t="str">
        <f>IFERROR(VLOOKUP(B470, '📋 PRODUCTS'!A:D, 4, FALSE), "")</f>
        <v/>
      </c>
      <c r="G470" s="37">
        <f t="shared" si="1"/>
        <v>0</v>
      </c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>
      <c r="A471" s="37"/>
      <c r="B471" s="37"/>
      <c r="C471" s="37" t="str">
        <f>IFERROR(VLOOKUP(B471, '📋 PRODUCTS'!A:D, 2, FALSE), "")</f>
        <v/>
      </c>
      <c r="D471" s="37" t="str">
        <f>IFERROR(VLOOKUP(B471, '📋 PRODUCTS'!A:D, 3, FALSE), "")</f>
        <v/>
      </c>
      <c r="E471" s="37"/>
      <c r="F471" s="37" t="str">
        <f>IFERROR(VLOOKUP(B471, '📋 PRODUCTS'!A:D, 4, FALSE), "")</f>
        <v/>
      </c>
      <c r="G471" s="37">
        <f t="shared" si="1"/>
        <v>0</v>
      </c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>
      <c r="A472" s="37"/>
      <c r="B472" s="37"/>
      <c r="C472" s="37" t="str">
        <f>IFERROR(VLOOKUP(B472, '📋 PRODUCTS'!A:D, 2, FALSE), "")</f>
        <v/>
      </c>
      <c r="D472" s="37" t="str">
        <f>IFERROR(VLOOKUP(B472, '📋 PRODUCTS'!A:D, 3, FALSE), "")</f>
        <v/>
      </c>
      <c r="E472" s="37"/>
      <c r="F472" s="37" t="str">
        <f>IFERROR(VLOOKUP(B472, '📋 PRODUCTS'!A:D, 4, FALSE), "")</f>
        <v/>
      </c>
      <c r="G472" s="37">
        <f t="shared" si="1"/>
        <v>0</v>
      </c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>
      <c r="A473" s="37"/>
      <c r="B473" s="37"/>
      <c r="C473" s="37" t="str">
        <f>IFERROR(VLOOKUP(B473, '📋 PRODUCTS'!A:D, 2, FALSE), "")</f>
        <v/>
      </c>
      <c r="D473" s="37" t="str">
        <f>IFERROR(VLOOKUP(B473, '📋 PRODUCTS'!A:D, 3, FALSE), "")</f>
        <v/>
      </c>
      <c r="E473" s="37"/>
      <c r="F473" s="37" t="str">
        <f>IFERROR(VLOOKUP(B473, '📋 PRODUCTS'!A:D, 4, FALSE), "")</f>
        <v/>
      </c>
      <c r="G473" s="37">
        <f t="shared" si="1"/>
        <v>0</v>
      </c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>
      <c r="A474" s="37"/>
      <c r="B474" s="37"/>
      <c r="C474" s="37" t="str">
        <f>IFERROR(VLOOKUP(B474, '📋 PRODUCTS'!A:D, 2, FALSE), "")</f>
        <v/>
      </c>
      <c r="D474" s="37" t="str">
        <f>IFERROR(VLOOKUP(B474, '📋 PRODUCTS'!A:D, 3, FALSE), "")</f>
        <v/>
      </c>
      <c r="E474" s="37"/>
      <c r="F474" s="37" t="str">
        <f>IFERROR(VLOOKUP(B474, '📋 PRODUCTS'!A:D, 4, FALSE), "")</f>
        <v/>
      </c>
      <c r="G474" s="37">
        <f t="shared" si="1"/>
        <v>0</v>
      </c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>
      <c r="A475" s="37"/>
      <c r="B475" s="37"/>
      <c r="C475" s="37" t="str">
        <f>IFERROR(VLOOKUP(B475, '📋 PRODUCTS'!A:D, 2, FALSE), "")</f>
        <v/>
      </c>
      <c r="D475" s="37" t="str">
        <f>IFERROR(VLOOKUP(B475, '📋 PRODUCTS'!A:D, 3, FALSE), "")</f>
        <v/>
      </c>
      <c r="E475" s="37"/>
      <c r="F475" s="37" t="str">
        <f>IFERROR(VLOOKUP(B475, '📋 PRODUCTS'!A:D, 4, FALSE), "")</f>
        <v/>
      </c>
      <c r="G475" s="37">
        <f t="shared" si="1"/>
        <v>0</v>
      </c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>
      <c r="A476" s="37"/>
      <c r="B476" s="37"/>
      <c r="C476" s="37" t="str">
        <f>IFERROR(VLOOKUP(B476, '📋 PRODUCTS'!A:D, 2, FALSE), "")</f>
        <v/>
      </c>
      <c r="D476" s="37" t="str">
        <f>IFERROR(VLOOKUP(B476, '📋 PRODUCTS'!A:D, 3, FALSE), "")</f>
        <v/>
      </c>
      <c r="E476" s="37"/>
      <c r="F476" s="37" t="str">
        <f>IFERROR(VLOOKUP(B476, '📋 PRODUCTS'!A:D, 4, FALSE), "")</f>
        <v/>
      </c>
      <c r="G476" s="37">
        <f t="shared" si="1"/>
        <v>0</v>
      </c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>
      <c r="A477" s="37"/>
      <c r="B477" s="37"/>
      <c r="C477" s="37" t="str">
        <f>IFERROR(VLOOKUP(B477, '📋 PRODUCTS'!A:D, 2, FALSE), "")</f>
        <v/>
      </c>
      <c r="D477" s="37" t="str">
        <f>IFERROR(VLOOKUP(B477, '📋 PRODUCTS'!A:D, 3, FALSE), "")</f>
        <v/>
      </c>
      <c r="E477" s="37"/>
      <c r="F477" s="37" t="str">
        <f>IFERROR(VLOOKUP(B477, '📋 PRODUCTS'!A:D, 4, FALSE), "")</f>
        <v/>
      </c>
      <c r="G477" s="37">
        <f t="shared" si="1"/>
        <v>0</v>
      </c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>
      <c r="A478" s="37"/>
      <c r="B478" s="37"/>
      <c r="C478" s="37" t="str">
        <f>IFERROR(VLOOKUP(B478, '📋 PRODUCTS'!A:D, 2, FALSE), "")</f>
        <v/>
      </c>
      <c r="D478" s="37" t="str">
        <f>IFERROR(VLOOKUP(B478, '📋 PRODUCTS'!A:D, 3, FALSE), "")</f>
        <v/>
      </c>
      <c r="E478" s="37"/>
      <c r="F478" s="37" t="str">
        <f>IFERROR(VLOOKUP(B478, '📋 PRODUCTS'!A:D, 4, FALSE), "")</f>
        <v/>
      </c>
      <c r="G478" s="37">
        <f t="shared" si="1"/>
        <v>0</v>
      </c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>
      <c r="A479" s="37"/>
      <c r="B479" s="37"/>
      <c r="C479" s="37" t="str">
        <f>IFERROR(VLOOKUP(B479, '📋 PRODUCTS'!A:D, 2, FALSE), "")</f>
        <v/>
      </c>
      <c r="D479" s="37" t="str">
        <f>IFERROR(VLOOKUP(B479, '📋 PRODUCTS'!A:D, 3, FALSE), "")</f>
        <v/>
      </c>
      <c r="E479" s="37"/>
      <c r="F479" s="37" t="str">
        <f>IFERROR(VLOOKUP(B479, '📋 PRODUCTS'!A:D, 4, FALSE), "")</f>
        <v/>
      </c>
      <c r="G479" s="37">
        <f t="shared" si="1"/>
        <v>0</v>
      </c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>
      <c r="A480" s="37"/>
      <c r="B480" s="37"/>
      <c r="C480" s="37" t="str">
        <f>IFERROR(VLOOKUP(B480, '📋 PRODUCTS'!A:D, 2, FALSE), "")</f>
        <v/>
      </c>
      <c r="D480" s="37" t="str">
        <f>IFERROR(VLOOKUP(B480, '📋 PRODUCTS'!A:D, 3, FALSE), "")</f>
        <v/>
      </c>
      <c r="E480" s="37"/>
      <c r="F480" s="37" t="str">
        <f>IFERROR(VLOOKUP(B480, '📋 PRODUCTS'!A:D, 4, FALSE), "")</f>
        <v/>
      </c>
      <c r="G480" s="37">
        <f t="shared" si="1"/>
        <v>0</v>
      </c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>
      <c r="A481" s="37"/>
      <c r="B481" s="37"/>
      <c r="C481" s="37" t="str">
        <f>IFERROR(VLOOKUP(B481, '📋 PRODUCTS'!A:D, 2, FALSE), "")</f>
        <v/>
      </c>
      <c r="D481" s="37" t="str">
        <f>IFERROR(VLOOKUP(B481, '📋 PRODUCTS'!A:D, 3, FALSE), "")</f>
        <v/>
      </c>
      <c r="E481" s="37"/>
      <c r="F481" s="37" t="str">
        <f>IFERROR(VLOOKUP(B481, '📋 PRODUCTS'!A:D, 4, FALSE), "")</f>
        <v/>
      </c>
      <c r="G481" s="37">
        <f t="shared" si="1"/>
        <v>0</v>
      </c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>
      <c r="A482" s="37"/>
      <c r="B482" s="37"/>
      <c r="C482" s="37" t="str">
        <f>IFERROR(VLOOKUP(B482, '📋 PRODUCTS'!A:D, 2, FALSE), "")</f>
        <v/>
      </c>
      <c r="D482" s="37" t="str">
        <f>IFERROR(VLOOKUP(B482, '📋 PRODUCTS'!A:D, 3, FALSE), "")</f>
        <v/>
      </c>
      <c r="E482" s="37"/>
      <c r="F482" s="37" t="str">
        <f>IFERROR(VLOOKUP(B482, '📋 PRODUCTS'!A:D, 4, FALSE), "")</f>
        <v/>
      </c>
      <c r="G482" s="37">
        <f t="shared" si="1"/>
        <v>0</v>
      </c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>
      <c r="A483" s="37"/>
      <c r="B483" s="37"/>
      <c r="C483" s="37" t="str">
        <f>IFERROR(VLOOKUP(B483, '📋 PRODUCTS'!A:D, 2, FALSE), "")</f>
        <v/>
      </c>
      <c r="D483" s="37" t="str">
        <f>IFERROR(VLOOKUP(B483, '📋 PRODUCTS'!A:D, 3, FALSE), "")</f>
        <v/>
      </c>
      <c r="E483" s="37"/>
      <c r="F483" s="37" t="str">
        <f>IFERROR(VLOOKUP(B483, '📋 PRODUCTS'!A:D, 4, FALSE), "")</f>
        <v/>
      </c>
      <c r="G483" s="37">
        <f t="shared" si="1"/>
        <v>0</v>
      </c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>
      <c r="A484" s="37"/>
      <c r="B484" s="37"/>
      <c r="C484" s="37" t="str">
        <f>IFERROR(VLOOKUP(B484, '📋 PRODUCTS'!A:D, 2, FALSE), "")</f>
        <v/>
      </c>
      <c r="D484" s="37" t="str">
        <f>IFERROR(VLOOKUP(B484, '📋 PRODUCTS'!A:D, 3, FALSE), "")</f>
        <v/>
      </c>
      <c r="E484" s="37"/>
      <c r="F484" s="37" t="str">
        <f>IFERROR(VLOOKUP(B484, '📋 PRODUCTS'!A:D, 4, FALSE), "")</f>
        <v/>
      </c>
      <c r="G484" s="37">
        <f t="shared" si="1"/>
        <v>0</v>
      </c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>
      <c r="A485" s="37"/>
      <c r="B485" s="37"/>
      <c r="C485" s="37" t="str">
        <f>IFERROR(VLOOKUP(B485, '📋 PRODUCTS'!A:D, 2, FALSE), "")</f>
        <v/>
      </c>
      <c r="D485" s="37" t="str">
        <f>IFERROR(VLOOKUP(B485, '📋 PRODUCTS'!A:D, 3, FALSE), "")</f>
        <v/>
      </c>
      <c r="E485" s="37"/>
      <c r="F485" s="37" t="str">
        <f>IFERROR(VLOOKUP(B485, '📋 PRODUCTS'!A:D, 4, FALSE), "")</f>
        <v/>
      </c>
      <c r="G485" s="37">
        <f t="shared" si="1"/>
        <v>0</v>
      </c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>
      <c r="A486" s="37"/>
      <c r="B486" s="37"/>
      <c r="C486" s="37" t="str">
        <f>IFERROR(VLOOKUP(B486, '📋 PRODUCTS'!A:D, 2, FALSE), "")</f>
        <v/>
      </c>
      <c r="D486" s="37" t="str">
        <f>IFERROR(VLOOKUP(B486, '📋 PRODUCTS'!A:D, 3, FALSE), "")</f>
        <v/>
      </c>
      <c r="E486" s="37"/>
      <c r="F486" s="37" t="str">
        <f>IFERROR(VLOOKUP(B486, '📋 PRODUCTS'!A:D, 4, FALSE), "")</f>
        <v/>
      </c>
      <c r="G486" s="37">
        <f t="shared" si="1"/>
        <v>0</v>
      </c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>
      <c r="A487" s="37"/>
      <c r="B487" s="37"/>
      <c r="C487" s="37" t="str">
        <f>IFERROR(VLOOKUP(B487, '📋 PRODUCTS'!A:D, 2, FALSE), "")</f>
        <v/>
      </c>
      <c r="D487" s="37" t="str">
        <f>IFERROR(VLOOKUP(B487, '📋 PRODUCTS'!A:D, 3, FALSE), "")</f>
        <v/>
      </c>
      <c r="E487" s="37"/>
      <c r="F487" s="37" t="str">
        <f>IFERROR(VLOOKUP(B487, '📋 PRODUCTS'!A:D, 4, FALSE), "")</f>
        <v/>
      </c>
      <c r="G487" s="37">
        <f t="shared" si="1"/>
        <v>0</v>
      </c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>
      <c r="A488" s="37"/>
      <c r="B488" s="37"/>
      <c r="C488" s="37" t="str">
        <f>IFERROR(VLOOKUP(B488, '📋 PRODUCTS'!A:D, 2, FALSE), "")</f>
        <v/>
      </c>
      <c r="D488" s="37" t="str">
        <f>IFERROR(VLOOKUP(B488, '📋 PRODUCTS'!A:D, 3, FALSE), "")</f>
        <v/>
      </c>
      <c r="E488" s="37"/>
      <c r="F488" s="37" t="str">
        <f>IFERROR(VLOOKUP(B488, '📋 PRODUCTS'!A:D, 4, FALSE), "")</f>
        <v/>
      </c>
      <c r="G488" s="37">
        <f t="shared" si="1"/>
        <v>0</v>
      </c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>
      <c r="A489" s="37"/>
      <c r="B489" s="37"/>
      <c r="C489" s="37" t="str">
        <f>IFERROR(VLOOKUP(B489, '📋 PRODUCTS'!A:D, 2, FALSE), "")</f>
        <v/>
      </c>
      <c r="D489" s="37" t="str">
        <f>IFERROR(VLOOKUP(B489, '📋 PRODUCTS'!A:D, 3, FALSE), "")</f>
        <v/>
      </c>
      <c r="E489" s="37"/>
      <c r="F489" s="37" t="str">
        <f>IFERROR(VLOOKUP(B489, '📋 PRODUCTS'!A:D, 4, FALSE), "")</f>
        <v/>
      </c>
      <c r="G489" s="37">
        <f t="shared" si="1"/>
        <v>0</v>
      </c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>
      <c r="A490" s="37"/>
      <c r="B490" s="37"/>
      <c r="C490" s="37" t="str">
        <f>IFERROR(VLOOKUP(B490, '📋 PRODUCTS'!A:D, 2, FALSE), "")</f>
        <v/>
      </c>
      <c r="D490" s="37" t="str">
        <f>IFERROR(VLOOKUP(B490, '📋 PRODUCTS'!A:D, 3, FALSE), "")</f>
        <v/>
      </c>
      <c r="E490" s="37"/>
      <c r="F490" s="37" t="str">
        <f>IFERROR(VLOOKUP(B490, '📋 PRODUCTS'!A:D, 4, FALSE), "")</f>
        <v/>
      </c>
      <c r="G490" s="37">
        <f t="shared" si="1"/>
        <v>0</v>
      </c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>
      <c r="A491" s="37"/>
      <c r="B491" s="37"/>
      <c r="C491" s="37" t="str">
        <f>IFERROR(VLOOKUP(B491, '📋 PRODUCTS'!A:D, 2, FALSE), "")</f>
        <v/>
      </c>
      <c r="D491" s="37" t="str">
        <f>IFERROR(VLOOKUP(B491, '📋 PRODUCTS'!A:D, 3, FALSE), "")</f>
        <v/>
      </c>
      <c r="E491" s="37"/>
      <c r="F491" s="37" t="str">
        <f>IFERROR(VLOOKUP(B491, '📋 PRODUCTS'!A:D, 4, FALSE), "")</f>
        <v/>
      </c>
      <c r="G491" s="37">
        <f t="shared" si="1"/>
        <v>0</v>
      </c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>
      <c r="A492" s="37"/>
      <c r="B492" s="37"/>
      <c r="C492" s="37" t="str">
        <f>IFERROR(VLOOKUP(B492, '📋 PRODUCTS'!A:D, 2, FALSE), "")</f>
        <v/>
      </c>
      <c r="D492" s="37" t="str">
        <f>IFERROR(VLOOKUP(B492, '📋 PRODUCTS'!A:D, 3, FALSE), "")</f>
        <v/>
      </c>
      <c r="E492" s="37"/>
      <c r="F492" s="37" t="str">
        <f>IFERROR(VLOOKUP(B492, '📋 PRODUCTS'!A:D, 4, FALSE), "")</f>
        <v/>
      </c>
      <c r="G492" s="37">
        <f t="shared" si="1"/>
        <v>0</v>
      </c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>
      <c r="A493" s="37"/>
      <c r="B493" s="37"/>
      <c r="C493" s="37" t="str">
        <f>IFERROR(VLOOKUP(B493, '📋 PRODUCTS'!A:D, 2, FALSE), "")</f>
        <v/>
      </c>
      <c r="D493" s="37" t="str">
        <f>IFERROR(VLOOKUP(B493, '📋 PRODUCTS'!A:D, 3, FALSE), "")</f>
        <v/>
      </c>
      <c r="E493" s="37"/>
      <c r="F493" s="37" t="str">
        <f>IFERROR(VLOOKUP(B493, '📋 PRODUCTS'!A:D, 4, FALSE), "")</f>
        <v/>
      </c>
      <c r="G493" s="37">
        <f t="shared" si="1"/>
        <v>0</v>
      </c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>
      <c r="A494" s="37"/>
      <c r="B494" s="37"/>
      <c r="C494" s="37" t="str">
        <f>IFERROR(VLOOKUP(B494, '📋 PRODUCTS'!A:D, 2, FALSE), "")</f>
        <v/>
      </c>
      <c r="D494" s="37" t="str">
        <f>IFERROR(VLOOKUP(B494, '📋 PRODUCTS'!A:D, 3, FALSE), "")</f>
        <v/>
      </c>
      <c r="E494" s="37"/>
      <c r="F494" s="37" t="str">
        <f>IFERROR(VLOOKUP(B494, '📋 PRODUCTS'!A:D, 4, FALSE), "")</f>
        <v/>
      </c>
      <c r="G494" s="37">
        <f t="shared" si="1"/>
        <v>0</v>
      </c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>
      <c r="A495" s="37"/>
      <c r="B495" s="37"/>
      <c r="C495" s="37" t="str">
        <f>IFERROR(VLOOKUP(B495, '📋 PRODUCTS'!A:D, 2, FALSE), "")</f>
        <v/>
      </c>
      <c r="D495" s="37" t="str">
        <f>IFERROR(VLOOKUP(B495, '📋 PRODUCTS'!A:D, 3, FALSE), "")</f>
        <v/>
      </c>
      <c r="E495" s="37"/>
      <c r="F495" s="37" t="str">
        <f>IFERROR(VLOOKUP(B495, '📋 PRODUCTS'!A:D, 4, FALSE), "")</f>
        <v/>
      </c>
      <c r="G495" s="37">
        <f t="shared" si="1"/>
        <v>0</v>
      </c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>
      <c r="A496" s="37"/>
      <c r="B496" s="37"/>
      <c r="C496" s="37" t="str">
        <f>IFERROR(VLOOKUP(B496, '📋 PRODUCTS'!A:D, 2, FALSE), "")</f>
        <v/>
      </c>
      <c r="D496" s="37" t="str">
        <f>IFERROR(VLOOKUP(B496, '📋 PRODUCTS'!A:D, 3, FALSE), "")</f>
        <v/>
      </c>
      <c r="E496" s="37"/>
      <c r="F496" s="37" t="str">
        <f>IFERROR(VLOOKUP(B496, '📋 PRODUCTS'!A:D, 4, FALSE), "")</f>
        <v/>
      </c>
      <c r="G496" s="37">
        <f t="shared" si="1"/>
        <v>0</v>
      </c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>
      <c r="A497" s="37"/>
      <c r="B497" s="37"/>
      <c r="C497" s="37" t="str">
        <f>IFERROR(VLOOKUP(B497, '📋 PRODUCTS'!A:D, 2, FALSE), "")</f>
        <v/>
      </c>
      <c r="D497" s="37" t="str">
        <f>IFERROR(VLOOKUP(B497, '📋 PRODUCTS'!A:D, 3, FALSE), "")</f>
        <v/>
      </c>
      <c r="E497" s="37"/>
      <c r="F497" s="37" t="str">
        <f>IFERROR(VLOOKUP(B497, '📋 PRODUCTS'!A:D, 4, FALSE), "")</f>
        <v/>
      </c>
      <c r="G497" s="37">
        <f t="shared" si="1"/>
        <v>0</v>
      </c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>
      <c r="A498" s="37"/>
      <c r="B498" s="37"/>
      <c r="C498" s="37" t="str">
        <f>IFERROR(VLOOKUP(B498, '📋 PRODUCTS'!A:D, 2, FALSE), "")</f>
        <v/>
      </c>
      <c r="D498" s="37" t="str">
        <f>IFERROR(VLOOKUP(B498, '📋 PRODUCTS'!A:D, 3, FALSE), "")</f>
        <v/>
      </c>
      <c r="E498" s="37"/>
      <c r="F498" s="37" t="str">
        <f>IFERROR(VLOOKUP(B498, '📋 PRODUCTS'!A:D, 4, FALSE), "")</f>
        <v/>
      </c>
      <c r="G498" s="37">
        <f t="shared" si="1"/>
        <v>0</v>
      </c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>
      <c r="A499" s="37"/>
      <c r="B499" s="37"/>
      <c r="C499" s="37" t="str">
        <f>IFERROR(VLOOKUP(B499, '📋 PRODUCTS'!A:D, 2, FALSE), "")</f>
        <v/>
      </c>
      <c r="D499" s="37" t="str">
        <f>IFERROR(VLOOKUP(B499, '📋 PRODUCTS'!A:D, 3, FALSE), "")</f>
        <v/>
      </c>
      <c r="E499" s="37"/>
      <c r="F499" s="37" t="str">
        <f>IFERROR(VLOOKUP(B499, '📋 PRODUCTS'!A:D, 4, FALSE), "")</f>
        <v/>
      </c>
      <c r="G499" s="37">
        <f t="shared" si="1"/>
        <v>0</v>
      </c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>
      <c r="A500" s="37"/>
      <c r="B500" s="37"/>
      <c r="C500" s="37" t="str">
        <f>IFERROR(VLOOKUP(B500, '📋 PRODUCTS'!A:D, 2, FALSE), "")</f>
        <v/>
      </c>
      <c r="D500" s="37" t="str">
        <f>IFERROR(VLOOKUP(B500, '📋 PRODUCTS'!A:D, 3, FALSE), "")</f>
        <v/>
      </c>
      <c r="E500" s="37"/>
      <c r="F500" s="37" t="str">
        <f>IFERROR(VLOOKUP(B500, '📋 PRODUCTS'!A:D, 4, FALSE), "")</f>
        <v/>
      </c>
      <c r="G500" s="37">
        <f t="shared" si="1"/>
        <v>0</v>
      </c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>
      <c r="A501" s="37"/>
      <c r="B501" s="37"/>
      <c r="C501" s="37" t="str">
        <f>IFERROR(VLOOKUP(B501, '📋 PRODUCTS'!A:D, 2, FALSE), "")</f>
        <v/>
      </c>
      <c r="D501" s="37" t="str">
        <f>IFERROR(VLOOKUP(B501, '📋 PRODUCTS'!A:D, 3, FALSE), "")</f>
        <v/>
      </c>
      <c r="E501" s="37"/>
      <c r="F501" s="37" t="str">
        <f>IFERROR(VLOOKUP(B501, '📋 PRODUCTS'!A:D, 4, FALSE), "")</f>
        <v/>
      </c>
      <c r="G501" s="37">
        <f t="shared" si="1"/>
        <v>0</v>
      </c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</sheetData>
  <dataValidations>
    <dataValidation type="custom" allowBlank="1" showDropDown="1" showErrorMessage="1" sqref="B39:B501">
      <formula1>FILTER('📋 PRODUCTS'!A:A, '📋 PRODUCTS'!E:E = TRUE)</formula1>
    </dataValidation>
    <dataValidation type="list" allowBlank="1" sqref="H2:H501">
      <formula1>"Paid,Pending,Partial,Credit"</formula1>
    </dataValidation>
    <dataValidation type="list" allowBlank="1" sqref="L2:L501">
      <formula1>"Cash,Mobile Money,Bank Transfer,Cheque,Credit"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22.88"/>
    <col customWidth="1" min="3" max="3" width="23.25"/>
    <col customWidth="1" min="4" max="4" width="22.75"/>
    <col customWidth="1" min="5" max="5" width="23.0"/>
    <col customWidth="1" min="6" max="6" width="23.75"/>
    <col customWidth="1" min="7" max="7" width="22.0"/>
    <col customWidth="1" min="8" max="8" width="21.88"/>
    <col customWidth="1" min="9" max="9" width="14.13"/>
    <col customWidth="1" min="10" max="10" width="17.5"/>
    <col customWidth="1" min="11" max="11" width="30.5"/>
    <col customWidth="1" min="12" max="12" width="20.13"/>
  </cols>
  <sheetData>
    <row r="1">
      <c r="A1" s="38" t="s">
        <v>232</v>
      </c>
      <c r="B1" s="38" t="s">
        <v>233</v>
      </c>
      <c r="C1" s="38" t="s">
        <v>234</v>
      </c>
      <c r="D1" s="38" t="s">
        <v>121</v>
      </c>
      <c r="E1" s="38" t="s">
        <v>235</v>
      </c>
      <c r="F1" s="38" t="s">
        <v>221</v>
      </c>
      <c r="G1" s="38" t="s">
        <v>9</v>
      </c>
      <c r="H1" s="38" t="s">
        <v>124</v>
      </c>
      <c r="I1" s="38" t="s">
        <v>6</v>
      </c>
      <c r="J1" s="38" t="s">
        <v>236</v>
      </c>
      <c r="K1" s="38" t="s">
        <v>237</v>
      </c>
      <c r="L1" s="38" t="s">
        <v>13</v>
      </c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>
      <c r="A2" s="35">
        <v>46182.0</v>
      </c>
      <c r="B2" s="37"/>
      <c r="C2" s="36" t="s">
        <v>238</v>
      </c>
      <c r="D2" s="37"/>
      <c r="E2" s="37"/>
      <c r="F2" s="36">
        <v>1.0</v>
      </c>
      <c r="G2" s="36">
        <v>2000.0</v>
      </c>
      <c r="H2" s="36">
        <v>70000.0</v>
      </c>
      <c r="I2" s="37"/>
      <c r="J2" s="36" t="s">
        <v>11</v>
      </c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>
      <c r="A3" s="35">
        <v>46182.0</v>
      </c>
      <c r="B3" s="37"/>
      <c r="C3" s="36" t="s">
        <v>239</v>
      </c>
      <c r="D3" s="37"/>
      <c r="E3" s="37"/>
      <c r="F3" s="36">
        <v>1.0</v>
      </c>
      <c r="G3" s="36">
        <v>70000.0</v>
      </c>
      <c r="H3" s="36">
        <v>70000.0</v>
      </c>
      <c r="I3" s="37"/>
      <c r="J3" s="36" t="s">
        <v>11</v>
      </c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>
      <c r="A4" s="35">
        <v>46182.0</v>
      </c>
      <c r="B4" s="37"/>
      <c r="C4" s="36" t="s">
        <v>240</v>
      </c>
      <c r="D4" s="37"/>
      <c r="E4" s="37"/>
      <c r="F4" s="36">
        <v>1.0</v>
      </c>
      <c r="G4" s="36">
        <v>30000.0</v>
      </c>
      <c r="H4" s="36">
        <v>30000.0</v>
      </c>
      <c r="I4" s="37"/>
      <c r="J4" s="36" t="s">
        <v>11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>
      <c r="A5" s="37"/>
      <c r="B5" s="37"/>
      <c r="C5" s="36" t="s">
        <v>241</v>
      </c>
      <c r="D5" s="37"/>
      <c r="E5" s="37"/>
      <c r="F5" s="36">
        <v>1.0</v>
      </c>
      <c r="G5" s="36">
        <v>330000.0</v>
      </c>
      <c r="H5" s="36">
        <v>330000.0</v>
      </c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>
      <c r="A6" s="37"/>
      <c r="B6" s="37"/>
      <c r="C6" s="36" t="s">
        <v>242</v>
      </c>
      <c r="D6" s="37"/>
      <c r="E6" s="37"/>
      <c r="F6" s="36">
        <v>1.0</v>
      </c>
      <c r="G6" s="36">
        <v>50000.0</v>
      </c>
      <c r="H6" s="36">
        <v>50000.0</v>
      </c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>
      <c r="A7" s="37"/>
      <c r="B7" s="37"/>
      <c r="C7" s="36" t="s">
        <v>243</v>
      </c>
      <c r="D7" s="37"/>
      <c r="E7" s="37"/>
      <c r="F7" s="36">
        <v>1.0</v>
      </c>
      <c r="G7" s="36">
        <v>500000.0</v>
      </c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>
      <c r="A8" s="37"/>
      <c r="B8" s="37"/>
      <c r="C8" s="36" t="s">
        <v>244</v>
      </c>
      <c r="D8" s="37"/>
      <c r="E8" s="37"/>
      <c r="F8" s="36">
        <v>4.0</v>
      </c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>
      <c r="A9" s="37"/>
      <c r="B9" s="37"/>
      <c r="C9" s="36" t="s">
        <v>245</v>
      </c>
      <c r="D9" s="37"/>
      <c r="E9" s="37"/>
      <c r="F9" s="36">
        <v>5.0</v>
      </c>
      <c r="G9" s="36"/>
      <c r="H9" s="36">
        <v>40000.0</v>
      </c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>
      <c r="A10" s="37"/>
      <c r="B10" s="37"/>
      <c r="C10" s="36" t="s">
        <v>246</v>
      </c>
      <c r="D10" s="37"/>
      <c r="E10" s="37"/>
      <c r="F10" s="36">
        <v>2.0</v>
      </c>
      <c r="G10" s="37"/>
      <c r="H10" s="36">
        <v>24000.0</v>
      </c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</sheetData>
  <dataValidations>
    <dataValidation type="list" allowBlank="1" sqref="J2:J501">
      <formula1>"Active,Inactive,Under Maintenance,Retired"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63"/>
    <col customWidth="1" min="2" max="2" width="19.5"/>
    <col customWidth="1" min="3" max="3" width="17.88"/>
    <col customWidth="1" min="4" max="4" width="15.75"/>
    <col customWidth="1" min="5" max="5" width="18.5"/>
    <col customWidth="1" min="6" max="6" width="20.38"/>
    <col customWidth="1" min="7" max="7" width="14.88"/>
    <col customWidth="1" min="8" max="8" width="17.75"/>
    <col customWidth="1" min="9" max="9" width="18.0"/>
    <col customWidth="1" min="10" max="10" width="16.0"/>
    <col customWidth="1" min="11" max="12" width="17.13"/>
    <col customWidth="1" min="13" max="13" width="21.38"/>
    <col customWidth="1" min="14" max="26" width="22.25"/>
  </cols>
  <sheetData>
    <row r="1">
      <c r="A1" s="3" t="s">
        <v>247</v>
      </c>
      <c r="B1" s="3" t="s">
        <v>248</v>
      </c>
      <c r="C1" s="3" t="s">
        <v>223</v>
      </c>
      <c r="D1" s="3" t="s">
        <v>249</v>
      </c>
      <c r="E1" s="3" t="s">
        <v>250</v>
      </c>
      <c r="F1" s="3" t="s">
        <v>251</v>
      </c>
      <c r="G1" s="3" t="s">
        <v>252</v>
      </c>
      <c r="H1" s="3" t="s">
        <v>253</v>
      </c>
      <c r="I1" s="3" t="s">
        <v>254</v>
      </c>
      <c r="J1" s="3" t="s">
        <v>255</v>
      </c>
      <c r="K1" s="3" t="s">
        <v>256</v>
      </c>
      <c r="L1" s="3" t="s">
        <v>257</v>
      </c>
      <c r="M1" s="3" t="s">
        <v>258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39">
        <v>46025.85268023148</v>
      </c>
      <c r="B2" s="39">
        <v>46031.85268023148</v>
      </c>
      <c r="C2" s="40">
        <f>SUMIFS(MASTER_SALES!G:G, MASTER_SALES!A:A, "&gt;="&amp;A2, MASTER_SALES!A:A, "&lt;="&amp;B2)</f>
        <v>0</v>
      </c>
      <c r="D2" s="40">
        <f>SUMIFS(MASTER_SALES!N:N, MASTER_SALES!A:A, "&gt;="&amp;A2, MASTER_SALES!A:A, "&lt;="&amp;B2)</f>
        <v>0</v>
      </c>
      <c r="E2" s="40">
        <f t="shared" ref="E2:E100" si="1">C2-D2</f>
        <v>0</v>
      </c>
      <c r="F2" s="41">
        <f t="shared" ref="F2:F100" si="2">IFERROR(E2/C2,0)</f>
        <v>0</v>
      </c>
      <c r="G2" s="40">
        <f>SUMIFS('💰 EXPENSES'!F:F, '💰 EXPENSES'!A:A, "&gt;="&amp;A2, '💰 EXPENSES'!A:A, "&lt;="&amp;B2)</f>
        <v>0</v>
      </c>
      <c r="H2" s="40">
        <f t="shared" ref="H2:H100" si="3">E2-G2</f>
        <v>0</v>
      </c>
      <c r="I2" s="41">
        <f t="shared" ref="I2:I100" si="4">IFERROR(H2/C2,0)</f>
        <v>0</v>
      </c>
      <c r="J2" s="40">
        <f>SUMIFS(MASTER_SALES!E:E, MASTER_SALES!A:A, "&gt;="&amp;A2, MASTER_SALES!A:A, "&lt;="&amp;B2)</f>
        <v>0</v>
      </c>
      <c r="K2" s="7"/>
      <c r="L2" s="41">
        <f>IFERROR((C2-#REF!)/#REF!,0)</f>
        <v>0</v>
      </c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39">
        <v>46032.85268023148</v>
      </c>
      <c r="B3" s="39">
        <v>46038.85268023148</v>
      </c>
      <c r="C3" s="40">
        <f>SUMIFS(MASTER_SALES!G:G, MASTER_SALES!A:A, "&gt;="&amp;A3, MASTER_SALES!A:A, "&lt;="&amp;B3)</f>
        <v>0</v>
      </c>
      <c r="D3" s="40">
        <f>SUMIFS(MASTER_SALES!N:N, MASTER_SALES!A:A, "&gt;="&amp;A3, MASTER_SALES!A:A, "&lt;="&amp;B3)</f>
        <v>0</v>
      </c>
      <c r="E3" s="40">
        <f t="shared" si="1"/>
        <v>0</v>
      </c>
      <c r="F3" s="41">
        <f t="shared" si="2"/>
        <v>0</v>
      </c>
      <c r="G3" s="40">
        <f>SUMIFS('💰 EXPENSES'!F:F, '💰 EXPENSES'!A:A, "&gt;="&amp;A3, '💰 EXPENSES'!A:A, "&lt;="&amp;B3)</f>
        <v>0</v>
      </c>
      <c r="H3" s="40">
        <f t="shared" si="3"/>
        <v>0</v>
      </c>
      <c r="I3" s="41">
        <f t="shared" si="4"/>
        <v>0</v>
      </c>
      <c r="J3" s="40">
        <f>SUMIFS(MASTER_SALES!E:E, MASTER_SALES!A:A, "&gt;="&amp;A3, MASTER_SALES!A:A, "&lt;="&amp;B3)</f>
        <v>0</v>
      </c>
      <c r="K3" s="7"/>
      <c r="L3" s="41">
        <f t="shared" ref="L3:L100" si="5">IFERROR((C3-C2)/C2,0)</f>
        <v>0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39">
        <v>46039.85268023148</v>
      </c>
      <c r="B4" s="39">
        <v>46045.85268023148</v>
      </c>
      <c r="C4" s="40">
        <f>SUMIFS(MASTER_SALES!G:G, MASTER_SALES!A:A, "&gt;="&amp;A4, MASTER_SALES!A:A, "&lt;="&amp;B4)</f>
        <v>0</v>
      </c>
      <c r="D4" s="40">
        <f>SUMIFS(MASTER_SALES!N:N, MASTER_SALES!A:A, "&gt;="&amp;A4, MASTER_SALES!A:A, "&lt;="&amp;B4)</f>
        <v>0</v>
      </c>
      <c r="E4" s="40">
        <f t="shared" si="1"/>
        <v>0</v>
      </c>
      <c r="F4" s="41">
        <f t="shared" si="2"/>
        <v>0</v>
      </c>
      <c r="G4" s="40">
        <f>SUMIFS('💰 EXPENSES'!F:F, '💰 EXPENSES'!A:A, "&gt;="&amp;A4, '💰 EXPENSES'!A:A, "&lt;="&amp;B4)</f>
        <v>0</v>
      </c>
      <c r="H4" s="40">
        <f t="shared" si="3"/>
        <v>0</v>
      </c>
      <c r="I4" s="41">
        <f t="shared" si="4"/>
        <v>0</v>
      </c>
      <c r="J4" s="40">
        <f>SUMIFS(MASTER_SALES!E:E, MASTER_SALES!A:A, "&gt;="&amp;A4, MASTER_SALES!A:A, "&lt;="&amp;B4)</f>
        <v>0</v>
      </c>
      <c r="K4" s="7"/>
      <c r="L4" s="41">
        <f t="shared" si="5"/>
        <v>0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39">
        <v>46046.85268023148</v>
      </c>
      <c r="B5" s="39">
        <v>46052.85268023148</v>
      </c>
      <c r="C5" s="40">
        <f>SUMIFS(MASTER_SALES!G:G, MASTER_SALES!A:A, "&gt;="&amp;A5, MASTER_SALES!A:A, "&lt;="&amp;B5)</f>
        <v>0</v>
      </c>
      <c r="D5" s="40">
        <f>SUMIFS(MASTER_SALES!N:N, MASTER_SALES!A:A, "&gt;="&amp;A5, MASTER_SALES!A:A, "&lt;="&amp;B5)</f>
        <v>0</v>
      </c>
      <c r="E5" s="40">
        <f t="shared" si="1"/>
        <v>0</v>
      </c>
      <c r="F5" s="41">
        <f t="shared" si="2"/>
        <v>0</v>
      </c>
      <c r="G5" s="40">
        <f>SUMIFS('💰 EXPENSES'!F:F, '💰 EXPENSES'!A:A, "&gt;="&amp;A5, '💰 EXPENSES'!A:A, "&lt;="&amp;B5)</f>
        <v>0</v>
      </c>
      <c r="H5" s="40">
        <f t="shared" si="3"/>
        <v>0</v>
      </c>
      <c r="I5" s="41">
        <f t="shared" si="4"/>
        <v>0</v>
      </c>
      <c r="J5" s="40">
        <f>SUMIFS(MASTER_SALES!E:E, MASTER_SALES!A:A, "&gt;="&amp;A5, MASTER_SALES!A:A, "&lt;="&amp;B5)</f>
        <v>0</v>
      </c>
      <c r="K5" s="7"/>
      <c r="L5" s="41">
        <f t="shared" si="5"/>
        <v>0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39">
        <v>46053.85268023148</v>
      </c>
      <c r="B6" s="39">
        <v>46059.85268023148</v>
      </c>
      <c r="C6" s="40">
        <f>SUMIFS(MASTER_SALES!G:G, MASTER_SALES!A:A, "&gt;="&amp;A6, MASTER_SALES!A:A, "&lt;="&amp;B6)</f>
        <v>0</v>
      </c>
      <c r="D6" s="40">
        <f>SUMIFS(MASTER_SALES!N:N, MASTER_SALES!A:A, "&gt;="&amp;A6, MASTER_SALES!A:A, "&lt;="&amp;B6)</f>
        <v>0</v>
      </c>
      <c r="E6" s="40">
        <f t="shared" si="1"/>
        <v>0</v>
      </c>
      <c r="F6" s="41">
        <f t="shared" si="2"/>
        <v>0</v>
      </c>
      <c r="G6" s="40">
        <f>SUMIFS('💰 EXPENSES'!F:F, '💰 EXPENSES'!A:A, "&gt;="&amp;A6, '💰 EXPENSES'!A:A, "&lt;="&amp;B6)</f>
        <v>0</v>
      </c>
      <c r="H6" s="40">
        <f t="shared" si="3"/>
        <v>0</v>
      </c>
      <c r="I6" s="41">
        <f t="shared" si="4"/>
        <v>0</v>
      </c>
      <c r="J6" s="40">
        <f>SUMIFS(MASTER_SALES!E:E, MASTER_SALES!A:A, "&gt;="&amp;A6, MASTER_SALES!A:A, "&lt;="&amp;B6)</f>
        <v>0</v>
      </c>
      <c r="K6" s="7"/>
      <c r="L6" s="41">
        <f t="shared" si="5"/>
        <v>0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39">
        <v>46060.85268023148</v>
      </c>
      <c r="B7" s="39">
        <v>46066.85268023148</v>
      </c>
      <c r="C7" s="40">
        <f>SUMIFS(MASTER_SALES!G:G, MASTER_SALES!A:A, "&gt;="&amp;A7, MASTER_SALES!A:A, "&lt;="&amp;B7)</f>
        <v>0</v>
      </c>
      <c r="D7" s="40">
        <f>SUMIFS(MASTER_SALES!N:N, MASTER_SALES!A:A, "&gt;="&amp;A7, MASTER_SALES!A:A, "&lt;="&amp;B7)</f>
        <v>0</v>
      </c>
      <c r="E7" s="40">
        <f t="shared" si="1"/>
        <v>0</v>
      </c>
      <c r="F7" s="41">
        <f t="shared" si="2"/>
        <v>0</v>
      </c>
      <c r="G7" s="40">
        <f>SUMIFS('💰 EXPENSES'!F:F, '💰 EXPENSES'!A:A, "&gt;="&amp;A7, '💰 EXPENSES'!A:A, "&lt;="&amp;B7)</f>
        <v>0</v>
      </c>
      <c r="H7" s="40">
        <f t="shared" si="3"/>
        <v>0</v>
      </c>
      <c r="I7" s="41">
        <f t="shared" si="4"/>
        <v>0</v>
      </c>
      <c r="J7" s="40">
        <f>SUMIFS(MASTER_SALES!E:E, MASTER_SALES!A:A, "&gt;="&amp;A7, MASTER_SALES!A:A, "&lt;="&amp;B7)</f>
        <v>0</v>
      </c>
      <c r="K7" s="7"/>
      <c r="L7" s="41">
        <f t="shared" si="5"/>
        <v>0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39">
        <v>46067.85268023148</v>
      </c>
      <c r="B8" s="39">
        <v>46073.85268023148</v>
      </c>
      <c r="C8" s="40">
        <f>SUMIFS(MASTER_SALES!G:G, MASTER_SALES!A:A, "&gt;="&amp;A8, MASTER_SALES!A:A, "&lt;="&amp;B8)</f>
        <v>0</v>
      </c>
      <c r="D8" s="40">
        <f>SUMIFS(MASTER_SALES!N:N, MASTER_SALES!A:A, "&gt;="&amp;A8, MASTER_SALES!A:A, "&lt;="&amp;B8)</f>
        <v>0</v>
      </c>
      <c r="E8" s="40">
        <f t="shared" si="1"/>
        <v>0</v>
      </c>
      <c r="F8" s="41">
        <f t="shared" si="2"/>
        <v>0</v>
      </c>
      <c r="G8" s="40">
        <f>SUMIFS('💰 EXPENSES'!F:F, '💰 EXPENSES'!A:A, "&gt;="&amp;A8, '💰 EXPENSES'!A:A, "&lt;="&amp;B8)</f>
        <v>0</v>
      </c>
      <c r="H8" s="40">
        <f t="shared" si="3"/>
        <v>0</v>
      </c>
      <c r="I8" s="41">
        <f t="shared" si="4"/>
        <v>0</v>
      </c>
      <c r="J8" s="40">
        <f>SUMIFS(MASTER_SALES!E:E, MASTER_SALES!A:A, "&gt;="&amp;A8, MASTER_SALES!A:A, "&lt;="&amp;B8)</f>
        <v>0</v>
      </c>
      <c r="K8" s="7"/>
      <c r="L8" s="41">
        <f t="shared" si="5"/>
        <v>0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39">
        <v>46074.85268023148</v>
      </c>
      <c r="B9" s="39">
        <v>46080.85268023148</v>
      </c>
      <c r="C9" s="40">
        <f>SUMIFS(MASTER_SALES!G:G, MASTER_SALES!A:A, "&gt;="&amp;A9, MASTER_SALES!A:A, "&lt;="&amp;B9)</f>
        <v>0</v>
      </c>
      <c r="D9" s="40">
        <f>SUMIFS(MASTER_SALES!N:N, MASTER_SALES!A:A, "&gt;="&amp;A9, MASTER_SALES!A:A, "&lt;="&amp;B9)</f>
        <v>0</v>
      </c>
      <c r="E9" s="40">
        <f t="shared" si="1"/>
        <v>0</v>
      </c>
      <c r="F9" s="41">
        <f t="shared" si="2"/>
        <v>0</v>
      </c>
      <c r="G9" s="40">
        <f>SUMIFS('💰 EXPENSES'!F:F, '💰 EXPENSES'!A:A, "&gt;="&amp;A9, '💰 EXPENSES'!A:A, "&lt;="&amp;B9)</f>
        <v>0</v>
      </c>
      <c r="H9" s="40">
        <f t="shared" si="3"/>
        <v>0</v>
      </c>
      <c r="I9" s="41">
        <f t="shared" si="4"/>
        <v>0</v>
      </c>
      <c r="J9" s="40">
        <f>SUMIFS(MASTER_SALES!E:E, MASTER_SALES!A:A, "&gt;="&amp;A9, MASTER_SALES!A:A, "&lt;="&amp;B9)</f>
        <v>0</v>
      </c>
      <c r="K9" s="7"/>
      <c r="L9" s="41">
        <f t="shared" si="5"/>
        <v>0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39">
        <v>46081.85268023148</v>
      </c>
      <c r="B10" s="39">
        <v>46087.85268023148</v>
      </c>
      <c r="C10" s="40">
        <f>SUMIFS(MASTER_SALES!G:G, MASTER_SALES!A:A, "&gt;="&amp;A10, MASTER_SALES!A:A, "&lt;="&amp;B10)</f>
        <v>0</v>
      </c>
      <c r="D10" s="40">
        <f>SUMIFS(MASTER_SALES!N:N, MASTER_SALES!A:A, "&gt;="&amp;A10, MASTER_SALES!A:A, "&lt;="&amp;B10)</f>
        <v>0</v>
      </c>
      <c r="E10" s="40">
        <f t="shared" si="1"/>
        <v>0</v>
      </c>
      <c r="F10" s="41">
        <f t="shared" si="2"/>
        <v>0</v>
      </c>
      <c r="G10" s="40">
        <f>SUMIFS('💰 EXPENSES'!F:F, '💰 EXPENSES'!A:A, "&gt;="&amp;A10, '💰 EXPENSES'!A:A, "&lt;="&amp;B10)</f>
        <v>0</v>
      </c>
      <c r="H10" s="40">
        <f t="shared" si="3"/>
        <v>0</v>
      </c>
      <c r="I10" s="41">
        <f t="shared" si="4"/>
        <v>0</v>
      </c>
      <c r="J10" s="40">
        <f>SUMIFS(MASTER_SALES!E:E, MASTER_SALES!A:A, "&gt;="&amp;A10, MASTER_SALES!A:A, "&lt;="&amp;B10)</f>
        <v>0</v>
      </c>
      <c r="K10" s="7"/>
      <c r="L10" s="41">
        <f t="shared" si="5"/>
        <v>0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39">
        <v>46088.85268023148</v>
      </c>
      <c r="B11" s="39">
        <v>46094.85268023148</v>
      </c>
      <c r="C11" s="40">
        <f>SUMIFS(MASTER_SALES!G:G, MASTER_SALES!A:A, "&gt;="&amp;A11, MASTER_SALES!A:A, "&lt;="&amp;B11)</f>
        <v>0</v>
      </c>
      <c r="D11" s="40">
        <f>SUMIFS(MASTER_SALES!N:N, MASTER_SALES!A:A, "&gt;="&amp;A11, MASTER_SALES!A:A, "&lt;="&amp;B11)</f>
        <v>0</v>
      </c>
      <c r="E11" s="40">
        <f t="shared" si="1"/>
        <v>0</v>
      </c>
      <c r="F11" s="41">
        <f t="shared" si="2"/>
        <v>0</v>
      </c>
      <c r="G11" s="40">
        <f>SUMIFS('💰 EXPENSES'!F:F, '💰 EXPENSES'!A:A, "&gt;="&amp;A11, '💰 EXPENSES'!A:A, "&lt;="&amp;B11)</f>
        <v>0</v>
      </c>
      <c r="H11" s="40">
        <f t="shared" si="3"/>
        <v>0</v>
      </c>
      <c r="I11" s="41">
        <f t="shared" si="4"/>
        <v>0</v>
      </c>
      <c r="J11" s="40">
        <f>SUMIFS(MASTER_SALES!E:E, MASTER_SALES!A:A, "&gt;="&amp;A11, MASTER_SALES!A:A, "&lt;="&amp;B11)</f>
        <v>0</v>
      </c>
      <c r="K11" s="7"/>
      <c r="L11" s="41">
        <f t="shared" si="5"/>
        <v>0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39">
        <v>46095.85268023148</v>
      </c>
      <c r="B12" s="39">
        <v>46101.85268023148</v>
      </c>
      <c r="C12" s="40">
        <f>SUMIFS(MASTER_SALES!G:G, MASTER_SALES!A:A, "&gt;="&amp;A12, MASTER_SALES!A:A, "&lt;="&amp;B12)</f>
        <v>0</v>
      </c>
      <c r="D12" s="40">
        <f>SUMIFS(MASTER_SALES!N:N, MASTER_SALES!A:A, "&gt;="&amp;A12, MASTER_SALES!A:A, "&lt;="&amp;B12)</f>
        <v>0</v>
      </c>
      <c r="E12" s="40">
        <f t="shared" si="1"/>
        <v>0</v>
      </c>
      <c r="F12" s="41">
        <f t="shared" si="2"/>
        <v>0</v>
      </c>
      <c r="G12" s="40">
        <f>SUMIFS('💰 EXPENSES'!F:F, '💰 EXPENSES'!A:A, "&gt;="&amp;A12, '💰 EXPENSES'!A:A, "&lt;="&amp;B12)</f>
        <v>0</v>
      </c>
      <c r="H12" s="40">
        <f t="shared" si="3"/>
        <v>0</v>
      </c>
      <c r="I12" s="41">
        <f t="shared" si="4"/>
        <v>0</v>
      </c>
      <c r="J12" s="40">
        <f>SUMIFS(MASTER_SALES!E:E, MASTER_SALES!A:A, "&gt;="&amp;A12, MASTER_SALES!A:A, "&lt;="&amp;B12)</f>
        <v>0</v>
      </c>
      <c r="K12" s="7"/>
      <c r="L12" s="41">
        <f t="shared" si="5"/>
        <v>0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39">
        <v>46102.85268023148</v>
      </c>
      <c r="B13" s="39">
        <v>46108.85268023148</v>
      </c>
      <c r="C13" s="40">
        <f>SUMIFS(MASTER_SALES!G:G, MASTER_SALES!A:A, "&gt;="&amp;A13, MASTER_SALES!A:A, "&lt;="&amp;B13)</f>
        <v>0</v>
      </c>
      <c r="D13" s="40">
        <f>SUMIFS(MASTER_SALES!N:N, MASTER_SALES!A:A, "&gt;="&amp;A13, MASTER_SALES!A:A, "&lt;="&amp;B13)</f>
        <v>0</v>
      </c>
      <c r="E13" s="40">
        <f t="shared" si="1"/>
        <v>0</v>
      </c>
      <c r="F13" s="41">
        <f t="shared" si="2"/>
        <v>0</v>
      </c>
      <c r="G13" s="40">
        <f>SUMIFS('💰 EXPENSES'!F:F, '💰 EXPENSES'!A:A, "&gt;="&amp;A13, '💰 EXPENSES'!A:A, "&lt;="&amp;B13)</f>
        <v>0</v>
      </c>
      <c r="H13" s="40">
        <f t="shared" si="3"/>
        <v>0</v>
      </c>
      <c r="I13" s="41">
        <f t="shared" si="4"/>
        <v>0</v>
      </c>
      <c r="J13" s="40">
        <f>SUMIFS(MASTER_SALES!E:E, MASTER_SALES!A:A, "&gt;="&amp;A13, MASTER_SALES!A:A, "&lt;="&amp;B13)</f>
        <v>0</v>
      </c>
      <c r="K13" s="7"/>
      <c r="L13" s="41">
        <f t="shared" si="5"/>
        <v>0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39">
        <v>46109.85268023148</v>
      </c>
      <c r="B14" s="39">
        <v>46115.85268023148</v>
      </c>
      <c r="C14" s="40">
        <f>SUMIFS(MASTER_SALES!G:G, MASTER_SALES!A:A, "&gt;="&amp;A14, MASTER_SALES!A:A, "&lt;="&amp;B14)</f>
        <v>0</v>
      </c>
      <c r="D14" s="40">
        <f>SUMIFS(MASTER_SALES!N:N, MASTER_SALES!A:A, "&gt;="&amp;A14, MASTER_SALES!A:A, "&lt;="&amp;B14)</f>
        <v>0</v>
      </c>
      <c r="E14" s="40">
        <f t="shared" si="1"/>
        <v>0</v>
      </c>
      <c r="F14" s="41">
        <f t="shared" si="2"/>
        <v>0</v>
      </c>
      <c r="G14" s="40">
        <f>SUMIFS('💰 EXPENSES'!F:F, '💰 EXPENSES'!A:A, "&gt;="&amp;A14, '💰 EXPENSES'!A:A, "&lt;="&amp;B14)</f>
        <v>0</v>
      </c>
      <c r="H14" s="40">
        <f t="shared" si="3"/>
        <v>0</v>
      </c>
      <c r="I14" s="41">
        <f t="shared" si="4"/>
        <v>0</v>
      </c>
      <c r="J14" s="40">
        <f>SUMIFS(MASTER_SALES!E:E, MASTER_SALES!A:A, "&gt;="&amp;A14, MASTER_SALES!A:A, "&lt;="&amp;B14)</f>
        <v>0</v>
      </c>
      <c r="K14" s="7"/>
      <c r="L14" s="41">
        <f t="shared" si="5"/>
        <v>0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39">
        <v>46116.85268023148</v>
      </c>
      <c r="B15" s="39">
        <v>46122.85268023148</v>
      </c>
      <c r="C15" s="40">
        <f>SUMIFS(MASTER_SALES!G:G, MASTER_SALES!A:A, "&gt;="&amp;A15, MASTER_SALES!A:A, "&lt;="&amp;B15)</f>
        <v>0</v>
      </c>
      <c r="D15" s="40">
        <f>SUMIFS(MASTER_SALES!N:N, MASTER_SALES!A:A, "&gt;="&amp;A15, MASTER_SALES!A:A, "&lt;="&amp;B15)</f>
        <v>0</v>
      </c>
      <c r="E15" s="40">
        <f t="shared" si="1"/>
        <v>0</v>
      </c>
      <c r="F15" s="41">
        <f t="shared" si="2"/>
        <v>0</v>
      </c>
      <c r="G15" s="40">
        <f>SUMIFS('💰 EXPENSES'!F:F, '💰 EXPENSES'!A:A, "&gt;="&amp;A15, '💰 EXPENSES'!A:A, "&lt;="&amp;B15)</f>
        <v>0</v>
      </c>
      <c r="H15" s="40">
        <f t="shared" si="3"/>
        <v>0</v>
      </c>
      <c r="I15" s="41">
        <f t="shared" si="4"/>
        <v>0</v>
      </c>
      <c r="J15" s="40">
        <f>SUMIFS(MASTER_SALES!E:E, MASTER_SALES!A:A, "&gt;="&amp;A15, MASTER_SALES!A:A, "&lt;="&amp;B15)</f>
        <v>0</v>
      </c>
      <c r="K15" s="7"/>
      <c r="L15" s="41">
        <f t="shared" si="5"/>
        <v>0</v>
      </c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39">
        <v>46123.85268023148</v>
      </c>
      <c r="B16" s="39">
        <v>46129.85268023148</v>
      </c>
      <c r="C16" s="40">
        <f>SUMIFS(MASTER_SALES!G:G, MASTER_SALES!A:A, "&gt;="&amp;A16, MASTER_SALES!A:A, "&lt;="&amp;B16)</f>
        <v>0</v>
      </c>
      <c r="D16" s="40">
        <f>SUMIFS(MASTER_SALES!N:N, MASTER_SALES!A:A, "&gt;="&amp;A16, MASTER_SALES!A:A, "&lt;="&amp;B16)</f>
        <v>0</v>
      </c>
      <c r="E16" s="40">
        <f t="shared" si="1"/>
        <v>0</v>
      </c>
      <c r="F16" s="41">
        <f t="shared" si="2"/>
        <v>0</v>
      </c>
      <c r="G16" s="40">
        <f>SUMIFS('💰 EXPENSES'!F:F, '💰 EXPENSES'!A:A, "&gt;="&amp;A16, '💰 EXPENSES'!A:A, "&lt;="&amp;B16)</f>
        <v>0</v>
      </c>
      <c r="H16" s="40">
        <f t="shared" si="3"/>
        <v>0</v>
      </c>
      <c r="I16" s="41">
        <f t="shared" si="4"/>
        <v>0</v>
      </c>
      <c r="J16" s="40">
        <f>SUMIFS(MASTER_SALES!E:E, MASTER_SALES!A:A, "&gt;="&amp;A16, MASTER_SALES!A:A, "&lt;="&amp;B16)</f>
        <v>0</v>
      </c>
      <c r="K16" s="7"/>
      <c r="L16" s="41">
        <f t="shared" si="5"/>
        <v>0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39">
        <v>46130.85268023148</v>
      </c>
      <c r="B17" s="39">
        <v>46136.85268023148</v>
      </c>
      <c r="C17" s="40">
        <f>SUMIFS(MASTER_SALES!G:G, MASTER_SALES!A:A, "&gt;="&amp;A17, MASTER_SALES!A:A, "&lt;="&amp;B17)</f>
        <v>0</v>
      </c>
      <c r="D17" s="40">
        <f>SUMIFS(MASTER_SALES!N:N, MASTER_SALES!A:A, "&gt;="&amp;A17, MASTER_SALES!A:A, "&lt;="&amp;B17)</f>
        <v>0</v>
      </c>
      <c r="E17" s="40">
        <f t="shared" si="1"/>
        <v>0</v>
      </c>
      <c r="F17" s="41">
        <f t="shared" si="2"/>
        <v>0</v>
      </c>
      <c r="G17" s="40">
        <f>SUMIFS('💰 EXPENSES'!F:F, '💰 EXPENSES'!A:A, "&gt;="&amp;A17, '💰 EXPENSES'!A:A, "&lt;="&amp;B17)</f>
        <v>0</v>
      </c>
      <c r="H17" s="40">
        <f t="shared" si="3"/>
        <v>0</v>
      </c>
      <c r="I17" s="41">
        <f t="shared" si="4"/>
        <v>0</v>
      </c>
      <c r="J17" s="40">
        <f>SUMIFS(MASTER_SALES!E:E, MASTER_SALES!A:A, "&gt;="&amp;A17, MASTER_SALES!A:A, "&lt;="&amp;B17)</f>
        <v>0</v>
      </c>
      <c r="K17" s="7"/>
      <c r="L17" s="41">
        <f t="shared" si="5"/>
        <v>0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39">
        <v>46137.85268023148</v>
      </c>
      <c r="B18" s="39">
        <v>46143.85268023148</v>
      </c>
      <c r="C18" s="40">
        <f>SUMIFS(MASTER_SALES!G:G, MASTER_SALES!A:A, "&gt;="&amp;A18, MASTER_SALES!A:A, "&lt;="&amp;B18)</f>
        <v>0</v>
      </c>
      <c r="D18" s="40">
        <f>SUMIFS(MASTER_SALES!N:N, MASTER_SALES!A:A, "&gt;="&amp;A18, MASTER_SALES!A:A, "&lt;="&amp;B18)</f>
        <v>0</v>
      </c>
      <c r="E18" s="40">
        <f t="shared" si="1"/>
        <v>0</v>
      </c>
      <c r="F18" s="41">
        <f t="shared" si="2"/>
        <v>0</v>
      </c>
      <c r="G18" s="40">
        <f>SUMIFS('💰 EXPENSES'!F:F, '💰 EXPENSES'!A:A, "&gt;="&amp;A18, '💰 EXPENSES'!A:A, "&lt;="&amp;B18)</f>
        <v>0</v>
      </c>
      <c r="H18" s="40">
        <f t="shared" si="3"/>
        <v>0</v>
      </c>
      <c r="I18" s="41">
        <f t="shared" si="4"/>
        <v>0</v>
      </c>
      <c r="J18" s="40">
        <f>SUMIFS(MASTER_SALES!E:E, MASTER_SALES!A:A, "&gt;="&amp;A18, MASTER_SALES!A:A, "&lt;="&amp;B18)</f>
        <v>0</v>
      </c>
      <c r="K18" s="7"/>
      <c r="L18" s="41">
        <f t="shared" si="5"/>
        <v>0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39">
        <v>46144.85268023148</v>
      </c>
      <c r="B19" s="39">
        <v>46150.85268023148</v>
      </c>
      <c r="C19" s="40">
        <f>SUMIFS(MASTER_SALES!G:G, MASTER_SALES!A:A, "&gt;="&amp;A19, MASTER_SALES!A:A, "&lt;="&amp;B19)</f>
        <v>0</v>
      </c>
      <c r="D19" s="40">
        <f>SUMIFS(MASTER_SALES!N:N, MASTER_SALES!A:A, "&gt;="&amp;A19, MASTER_SALES!A:A, "&lt;="&amp;B19)</f>
        <v>0</v>
      </c>
      <c r="E19" s="40">
        <f t="shared" si="1"/>
        <v>0</v>
      </c>
      <c r="F19" s="41">
        <f t="shared" si="2"/>
        <v>0</v>
      </c>
      <c r="G19" s="40">
        <f>SUMIFS('💰 EXPENSES'!F:F, '💰 EXPENSES'!A:A, "&gt;="&amp;A19, '💰 EXPENSES'!A:A, "&lt;="&amp;B19)</f>
        <v>0</v>
      </c>
      <c r="H19" s="40">
        <f t="shared" si="3"/>
        <v>0</v>
      </c>
      <c r="I19" s="41">
        <f t="shared" si="4"/>
        <v>0</v>
      </c>
      <c r="J19" s="40">
        <f>SUMIFS(MASTER_SALES!E:E, MASTER_SALES!A:A, "&gt;="&amp;A19, MASTER_SALES!A:A, "&lt;="&amp;B19)</f>
        <v>0</v>
      </c>
      <c r="K19" s="7"/>
      <c r="L19" s="41">
        <f t="shared" si="5"/>
        <v>0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39">
        <v>46151.85268023148</v>
      </c>
      <c r="B20" s="39">
        <v>46157.85268023148</v>
      </c>
      <c r="C20" s="40">
        <f>SUMIFS(MASTER_SALES!G:G, MASTER_SALES!A:A, "&gt;="&amp;A20, MASTER_SALES!A:A, "&lt;="&amp;B20)</f>
        <v>0</v>
      </c>
      <c r="D20" s="40">
        <f>SUMIFS(MASTER_SALES!N:N, MASTER_SALES!A:A, "&gt;="&amp;A20, MASTER_SALES!A:A, "&lt;="&amp;B20)</f>
        <v>0</v>
      </c>
      <c r="E20" s="40">
        <f t="shared" si="1"/>
        <v>0</v>
      </c>
      <c r="F20" s="41">
        <f t="shared" si="2"/>
        <v>0</v>
      </c>
      <c r="G20" s="40">
        <f>SUMIFS('💰 EXPENSES'!F:F, '💰 EXPENSES'!A:A, "&gt;="&amp;A20, '💰 EXPENSES'!A:A, "&lt;="&amp;B20)</f>
        <v>0</v>
      </c>
      <c r="H20" s="40">
        <f t="shared" si="3"/>
        <v>0</v>
      </c>
      <c r="I20" s="41">
        <f t="shared" si="4"/>
        <v>0</v>
      </c>
      <c r="J20" s="40">
        <f>SUMIFS(MASTER_SALES!E:E, MASTER_SALES!A:A, "&gt;="&amp;A20, MASTER_SALES!A:A, "&lt;="&amp;B20)</f>
        <v>0</v>
      </c>
      <c r="K20" s="7"/>
      <c r="L20" s="41">
        <f t="shared" si="5"/>
        <v>0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39">
        <v>46158.85268023148</v>
      </c>
      <c r="B21" s="39">
        <v>46164.85268023148</v>
      </c>
      <c r="C21" s="40">
        <f>SUMIFS(MASTER_SALES!G:G, MASTER_SALES!A:A, "&gt;="&amp;A21, MASTER_SALES!A:A, "&lt;="&amp;B21)</f>
        <v>0</v>
      </c>
      <c r="D21" s="40">
        <f>SUMIFS(MASTER_SALES!N:N, MASTER_SALES!A:A, "&gt;="&amp;A21, MASTER_SALES!A:A, "&lt;="&amp;B21)</f>
        <v>0</v>
      </c>
      <c r="E21" s="40">
        <f t="shared" si="1"/>
        <v>0</v>
      </c>
      <c r="F21" s="41">
        <f t="shared" si="2"/>
        <v>0</v>
      </c>
      <c r="G21" s="40">
        <f>SUMIFS('💰 EXPENSES'!F:F, '💰 EXPENSES'!A:A, "&gt;="&amp;A21, '💰 EXPENSES'!A:A, "&lt;="&amp;B21)</f>
        <v>0</v>
      </c>
      <c r="H21" s="40">
        <f t="shared" si="3"/>
        <v>0</v>
      </c>
      <c r="I21" s="41">
        <f t="shared" si="4"/>
        <v>0</v>
      </c>
      <c r="J21" s="40">
        <f>SUMIFS(MASTER_SALES!E:E, MASTER_SALES!A:A, "&gt;="&amp;A21, MASTER_SALES!A:A, "&lt;="&amp;B21)</f>
        <v>0</v>
      </c>
      <c r="K21" s="7"/>
      <c r="L21" s="41">
        <f t="shared" si="5"/>
        <v>0</v>
      </c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39">
        <v>46165.85268023148</v>
      </c>
      <c r="B22" s="39">
        <v>46171.85268023148</v>
      </c>
      <c r="C22" s="40">
        <f>SUMIFS(MASTER_SALES!G:G, MASTER_SALES!A:A, "&gt;="&amp;A22, MASTER_SALES!A:A, "&lt;="&amp;B22)</f>
        <v>0</v>
      </c>
      <c r="D22" s="40">
        <f>SUMIFS(MASTER_SALES!N:N, MASTER_SALES!A:A, "&gt;="&amp;A22, MASTER_SALES!A:A, "&lt;="&amp;B22)</f>
        <v>0</v>
      </c>
      <c r="E22" s="40">
        <f t="shared" si="1"/>
        <v>0</v>
      </c>
      <c r="F22" s="41">
        <f t="shared" si="2"/>
        <v>0</v>
      </c>
      <c r="G22" s="40">
        <f>SUMIFS('💰 EXPENSES'!F:F, '💰 EXPENSES'!A:A, "&gt;="&amp;A22, '💰 EXPENSES'!A:A, "&lt;="&amp;B22)</f>
        <v>0</v>
      </c>
      <c r="H22" s="40">
        <f t="shared" si="3"/>
        <v>0</v>
      </c>
      <c r="I22" s="41">
        <f t="shared" si="4"/>
        <v>0</v>
      </c>
      <c r="J22" s="40">
        <f>SUMIFS(MASTER_SALES!E:E, MASTER_SALES!A:A, "&gt;="&amp;A22, MASTER_SALES!A:A, "&lt;="&amp;B22)</f>
        <v>0</v>
      </c>
      <c r="K22" s="7"/>
      <c r="L22" s="41">
        <f t="shared" si="5"/>
        <v>0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39">
        <v>46172.85268023148</v>
      </c>
      <c r="B23" s="39">
        <v>46178.85268023148</v>
      </c>
      <c r="C23" s="40">
        <f>SUMIFS(MASTER_SALES!G:G, MASTER_SALES!A:A, "&gt;="&amp;A23, MASTER_SALES!A:A, "&lt;="&amp;B23)</f>
        <v>0</v>
      </c>
      <c r="D23" s="40">
        <f>SUMIFS(MASTER_SALES!N:N, MASTER_SALES!A:A, "&gt;="&amp;A23, MASTER_SALES!A:A, "&lt;="&amp;B23)</f>
        <v>0</v>
      </c>
      <c r="E23" s="40">
        <f t="shared" si="1"/>
        <v>0</v>
      </c>
      <c r="F23" s="41">
        <f t="shared" si="2"/>
        <v>0</v>
      </c>
      <c r="G23" s="40">
        <f>SUMIFS('💰 EXPENSES'!F:F, '💰 EXPENSES'!A:A, "&gt;="&amp;A23, '💰 EXPENSES'!A:A, "&lt;="&amp;B23)</f>
        <v>0</v>
      </c>
      <c r="H23" s="40">
        <f t="shared" si="3"/>
        <v>0</v>
      </c>
      <c r="I23" s="41">
        <f t="shared" si="4"/>
        <v>0</v>
      </c>
      <c r="J23" s="40">
        <f>SUMIFS(MASTER_SALES!E:E, MASTER_SALES!A:A, "&gt;="&amp;A23, MASTER_SALES!A:A, "&lt;="&amp;B23)</f>
        <v>0</v>
      </c>
      <c r="K23" s="7"/>
      <c r="L23" s="41">
        <f t="shared" si="5"/>
        <v>0</v>
      </c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39">
        <v>46179.85268023148</v>
      </c>
      <c r="B24" s="39">
        <v>46185.85268023148</v>
      </c>
      <c r="C24" s="40">
        <f>SUMIFS(MASTER_SALES!G:G, MASTER_SALES!A:A, "&gt;="&amp;A24, MASTER_SALES!A:A, "&lt;="&amp;B24)</f>
        <v>409500</v>
      </c>
      <c r="D24" s="40">
        <f>SUMIFS(MASTER_SALES!N:N, MASTER_SALES!A:A, "&gt;="&amp;A24, MASTER_SALES!A:A, "&lt;="&amp;B24)</f>
        <v>196970</v>
      </c>
      <c r="E24" s="40">
        <f t="shared" si="1"/>
        <v>212530</v>
      </c>
      <c r="F24" s="41">
        <f t="shared" si="2"/>
        <v>0.518998779</v>
      </c>
      <c r="G24" s="40">
        <f>SUMIFS('💰 EXPENSES'!F:F, '💰 EXPENSES'!A:A, "&gt;="&amp;A24, '💰 EXPENSES'!A:A, "&lt;="&amp;B24)</f>
        <v>136000</v>
      </c>
      <c r="H24" s="40">
        <f t="shared" si="3"/>
        <v>76530</v>
      </c>
      <c r="I24" s="41">
        <f t="shared" si="4"/>
        <v>0.1868864469</v>
      </c>
      <c r="J24" s="40">
        <f>SUMIFS(MASTER_SALES!E:E, MASTER_SALES!A:A, "&gt;="&amp;A24, MASTER_SALES!A:A, "&lt;="&amp;B24)</f>
        <v>183</v>
      </c>
      <c r="K24" s="7"/>
      <c r="L24" s="41">
        <f t="shared" si="5"/>
        <v>0</v>
      </c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39">
        <v>46186.85268023148</v>
      </c>
      <c r="B25" s="39">
        <v>46192.85268023148</v>
      </c>
      <c r="C25" s="40">
        <f>SUMIFS(MASTER_SALES!G:G, MASTER_SALES!A:A, "&gt;="&amp;A25, MASTER_SALES!A:A, "&lt;="&amp;B25)</f>
        <v>0</v>
      </c>
      <c r="D25" s="40">
        <f>SUMIFS(MASTER_SALES!N:N, MASTER_SALES!A:A, "&gt;="&amp;A25, MASTER_SALES!A:A, "&lt;="&amp;B25)</f>
        <v>0</v>
      </c>
      <c r="E25" s="40">
        <f t="shared" si="1"/>
        <v>0</v>
      </c>
      <c r="F25" s="41">
        <f t="shared" si="2"/>
        <v>0</v>
      </c>
      <c r="G25" s="40">
        <f>SUMIFS('💰 EXPENSES'!F:F, '💰 EXPENSES'!A:A, "&gt;="&amp;A25, '💰 EXPENSES'!A:A, "&lt;="&amp;B25)</f>
        <v>0</v>
      </c>
      <c r="H25" s="40">
        <f t="shared" si="3"/>
        <v>0</v>
      </c>
      <c r="I25" s="41">
        <f t="shared" si="4"/>
        <v>0</v>
      </c>
      <c r="J25" s="40">
        <f>SUMIFS(MASTER_SALES!E:E, MASTER_SALES!A:A, "&gt;="&amp;A25, MASTER_SALES!A:A, "&lt;="&amp;B25)</f>
        <v>0</v>
      </c>
      <c r="K25" s="7"/>
      <c r="L25" s="41">
        <f t="shared" si="5"/>
        <v>-1</v>
      </c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39">
        <v>46193.85268023148</v>
      </c>
      <c r="B26" s="39">
        <v>46199.85268023148</v>
      </c>
      <c r="C26" s="40">
        <f>SUMIFS(MASTER_SALES!G:G, MASTER_SALES!A:A, "&gt;="&amp;A26, MASTER_SALES!A:A, "&lt;="&amp;B26)</f>
        <v>0</v>
      </c>
      <c r="D26" s="40">
        <f>SUMIFS(MASTER_SALES!N:N, MASTER_SALES!A:A, "&gt;="&amp;A26, MASTER_SALES!A:A, "&lt;="&amp;B26)</f>
        <v>0</v>
      </c>
      <c r="E26" s="40">
        <f t="shared" si="1"/>
        <v>0</v>
      </c>
      <c r="F26" s="41">
        <f t="shared" si="2"/>
        <v>0</v>
      </c>
      <c r="G26" s="40">
        <f>SUMIFS('💰 EXPENSES'!F:F, '💰 EXPENSES'!A:A, "&gt;="&amp;A26, '💰 EXPENSES'!A:A, "&lt;="&amp;B26)</f>
        <v>0</v>
      </c>
      <c r="H26" s="40">
        <f t="shared" si="3"/>
        <v>0</v>
      </c>
      <c r="I26" s="41">
        <f t="shared" si="4"/>
        <v>0</v>
      </c>
      <c r="J26" s="40">
        <f>SUMIFS(MASTER_SALES!E:E, MASTER_SALES!A:A, "&gt;="&amp;A26, MASTER_SALES!A:A, "&lt;="&amp;B26)</f>
        <v>0</v>
      </c>
      <c r="K26" s="7"/>
      <c r="L26" s="41">
        <f t="shared" si="5"/>
        <v>0</v>
      </c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39">
        <v>46200.85268023148</v>
      </c>
      <c r="B27" s="39">
        <v>46206.85268023148</v>
      </c>
      <c r="C27" s="40">
        <f>SUMIFS(MASTER_SALES!G:G, MASTER_SALES!A:A, "&gt;="&amp;A27, MASTER_SALES!A:A, "&lt;="&amp;B27)</f>
        <v>160000</v>
      </c>
      <c r="D27" s="40">
        <f>SUMIFS(MASTER_SALES!N:N, MASTER_SALES!A:A, "&gt;="&amp;A27, MASTER_SALES!A:A, "&lt;="&amp;B27)</f>
        <v>75200</v>
      </c>
      <c r="E27" s="40">
        <f t="shared" si="1"/>
        <v>84800</v>
      </c>
      <c r="F27" s="41">
        <f t="shared" si="2"/>
        <v>0.53</v>
      </c>
      <c r="G27" s="40">
        <f>SUMIFS('💰 EXPENSES'!F:F, '💰 EXPENSES'!A:A, "&gt;="&amp;A27, '💰 EXPENSES'!A:A, "&lt;="&amp;B27)</f>
        <v>37000</v>
      </c>
      <c r="H27" s="40">
        <f t="shared" si="3"/>
        <v>47800</v>
      </c>
      <c r="I27" s="41">
        <f t="shared" si="4"/>
        <v>0.29875</v>
      </c>
      <c r="J27" s="40">
        <f>SUMIFS(MASTER_SALES!E:E, MASTER_SALES!A:A, "&gt;="&amp;A27, MASTER_SALES!A:A, "&lt;="&amp;B27)</f>
        <v>160</v>
      </c>
      <c r="K27" s="7"/>
      <c r="L27" s="41">
        <f t="shared" si="5"/>
        <v>0</v>
      </c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39">
        <v>46207.85268023148</v>
      </c>
      <c r="B28" s="39">
        <v>46213.85268023148</v>
      </c>
      <c r="C28" s="40">
        <f>SUMIFS(MASTER_SALES!G:G, MASTER_SALES!A:A, "&gt;="&amp;A28, MASTER_SALES!A:A, "&lt;="&amp;B28)</f>
        <v>0</v>
      </c>
      <c r="D28" s="40">
        <f>SUMIFS(MASTER_SALES!N:N, MASTER_SALES!A:A, "&gt;="&amp;A28, MASTER_SALES!A:A, "&lt;="&amp;B28)</f>
        <v>0</v>
      </c>
      <c r="E28" s="40">
        <f t="shared" si="1"/>
        <v>0</v>
      </c>
      <c r="F28" s="41">
        <f t="shared" si="2"/>
        <v>0</v>
      </c>
      <c r="G28" s="40">
        <f>SUMIFS('💰 EXPENSES'!F:F, '💰 EXPENSES'!A:A, "&gt;="&amp;A28, '💰 EXPENSES'!A:A, "&lt;="&amp;B28)</f>
        <v>0</v>
      </c>
      <c r="H28" s="40">
        <f t="shared" si="3"/>
        <v>0</v>
      </c>
      <c r="I28" s="41">
        <f t="shared" si="4"/>
        <v>0</v>
      </c>
      <c r="J28" s="40">
        <f>SUMIFS(MASTER_SALES!E:E, MASTER_SALES!A:A, "&gt;="&amp;A28, MASTER_SALES!A:A, "&lt;="&amp;B28)</f>
        <v>0</v>
      </c>
      <c r="K28" s="7"/>
      <c r="L28" s="41">
        <f t="shared" si="5"/>
        <v>-1</v>
      </c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39">
        <v>46214.85268023148</v>
      </c>
      <c r="B29" s="39">
        <v>46220.85268023148</v>
      </c>
      <c r="C29" s="40">
        <f>SUMIFS(MASTER_SALES!G:G, MASTER_SALES!A:A, "&gt;="&amp;A29, MASTER_SALES!A:A, "&lt;="&amp;B29)</f>
        <v>0</v>
      </c>
      <c r="D29" s="40">
        <f>SUMIFS(MASTER_SALES!N:N, MASTER_SALES!A:A, "&gt;="&amp;A29, MASTER_SALES!A:A, "&lt;="&amp;B29)</f>
        <v>0</v>
      </c>
      <c r="E29" s="40">
        <f t="shared" si="1"/>
        <v>0</v>
      </c>
      <c r="F29" s="41">
        <f t="shared" si="2"/>
        <v>0</v>
      </c>
      <c r="G29" s="40">
        <f>SUMIFS('💰 EXPENSES'!F:F, '💰 EXPENSES'!A:A, "&gt;="&amp;A29, '💰 EXPENSES'!A:A, "&lt;="&amp;B29)</f>
        <v>0</v>
      </c>
      <c r="H29" s="40">
        <f t="shared" si="3"/>
        <v>0</v>
      </c>
      <c r="I29" s="41">
        <f t="shared" si="4"/>
        <v>0</v>
      </c>
      <c r="J29" s="40">
        <f>SUMIFS(MASTER_SALES!E:E, MASTER_SALES!A:A, "&gt;="&amp;A29, MASTER_SALES!A:A, "&lt;="&amp;B29)</f>
        <v>0</v>
      </c>
      <c r="K29" s="7"/>
      <c r="L29" s="41">
        <f t="shared" si="5"/>
        <v>0</v>
      </c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39">
        <v>46221.85268023148</v>
      </c>
      <c r="B30" s="39">
        <v>46227.85268023148</v>
      </c>
      <c r="C30" s="40">
        <f>SUMIFS(MASTER_SALES!G:G, MASTER_SALES!A:A, "&gt;="&amp;A30, MASTER_SALES!A:A, "&lt;="&amp;B30)</f>
        <v>0</v>
      </c>
      <c r="D30" s="40">
        <f>SUMIFS(MASTER_SALES!N:N, MASTER_SALES!A:A, "&gt;="&amp;A30, MASTER_SALES!A:A, "&lt;="&amp;B30)</f>
        <v>0</v>
      </c>
      <c r="E30" s="40">
        <f t="shared" si="1"/>
        <v>0</v>
      </c>
      <c r="F30" s="41">
        <f t="shared" si="2"/>
        <v>0</v>
      </c>
      <c r="G30" s="40">
        <f>SUMIFS('💰 EXPENSES'!F:F, '💰 EXPENSES'!A:A, "&gt;="&amp;A30, '💰 EXPENSES'!A:A, "&lt;="&amp;B30)</f>
        <v>0</v>
      </c>
      <c r="H30" s="40">
        <f t="shared" si="3"/>
        <v>0</v>
      </c>
      <c r="I30" s="41">
        <f t="shared" si="4"/>
        <v>0</v>
      </c>
      <c r="J30" s="40">
        <f>SUMIFS(MASTER_SALES!E:E, MASTER_SALES!A:A, "&gt;="&amp;A30, MASTER_SALES!A:A, "&lt;="&amp;B30)</f>
        <v>0</v>
      </c>
      <c r="K30" s="7"/>
      <c r="L30" s="41">
        <f t="shared" si="5"/>
        <v>0</v>
      </c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39">
        <v>46228.85268023148</v>
      </c>
      <c r="B31" s="39">
        <v>46234.85268023148</v>
      </c>
      <c r="C31" s="40">
        <f>SUMIFS(MASTER_SALES!G:G, MASTER_SALES!A:A, "&gt;="&amp;A31, MASTER_SALES!A:A, "&lt;="&amp;B31)</f>
        <v>0</v>
      </c>
      <c r="D31" s="40">
        <f>SUMIFS(MASTER_SALES!N:N, MASTER_SALES!A:A, "&gt;="&amp;A31, MASTER_SALES!A:A, "&lt;="&amp;B31)</f>
        <v>0</v>
      </c>
      <c r="E31" s="40">
        <f t="shared" si="1"/>
        <v>0</v>
      </c>
      <c r="F31" s="41">
        <f t="shared" si="2"/>
        <v>0</v>
      </c>
      <c r="G31" s="40">
        <f>SUMIFS('💰 EXPENSES'!F:F, '💰 EXPENSES'!A:A, "&gt;="&amp;A31, '💰 EXPENSES'!A:A, "&lt;="&amp;B31)</f>
        <v>578000</v>
      </c>
      <c r="H31" s="40">
        <f t="shared" si="3"/>
        <v>-578000</v>
      </c>
      <c r="I31" s="41">
        <f t="shared" si="4"/>
        <v>0</v>
      </c>
      <c r="J31" s="40">
        <f>SUMIFS(MASTER_SALES!E:E, MASTER_SALES!A:A, "&gt;="&amp;A31, MASTER_SALES!A:A, "&lt;="&amp;B31)</f>
        <v>0</v>
      </c>
      <c r="K31" s="7"/>
      <c r="L31" s="41">
        <f t="shared" si="5"/>
        <v>0</v>
      </c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39">
        <v>46235.85268023148</v>
      </c>
      <c r="B32" s="39">
        <v>46241.85268023148</v>
      </c>
      <c r="C32" s="40">
        <f>SUMIFS(MASTER_SALES!G:G, MASTER_SALES!A:A, "&gt;="&amp;A32, MASTER_SALES!A:A, "&lt;="&amp;B32)</f>
        <v>75000</v>
      </c>
      <c r="D32" s="40">
        <f>SUMIFS(MASTER_SALES!N:N, MASTER_SALES!A:A, "&gt;="&amp;A32, MASTER_SALES!A:A, "&lt;="&amp;B32)</f>
        <v>17490</v>
      </c>
      <c r="E32" s="40">
        <f t="shared" si="1"/>
        <v>57510</v>
      </c>
      <c r="F32" s="41">
        <f t="shared" si="2"/>
        <v>0.7668</v>
      </c>
      <c r="G32" s="40">
        <f>SUMIFS('💰 EXPENSES'!F:F, '💰 EXPENSES'!A:A, "&gt;="&amp;A32, '💰 EXPENSES'!A:A, "&lt;="&amp;B32)</f>
        <v>58000</v>
      </c>
      <c r="H32" s="40">
        <f t="shared" si="3"/>
        <v>-490</v>
      </c>
      <c r="I32" s="41">
        <f t="shared" si="4"/>
        <v>-0.006533333333</v>
      </c>
      <c r="J32" s="40">
        <f>SUMIFS(MASTER_SALES!E:E, MASTER_SALES!A:A, "&gt;="&amp;A32, MASTER_SALES!A:A, "&lt;="&amp;B32)</f>
        <v>18</v>
      </c>
      <c r="K32" s="7"/>
      <c r="L32" s="41">
        <f t="shared" si="5"/>
        <v>0</v>
      </c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39">
        <v>46242.85268023148</v>
      </c>
      <c r="B33" s="39">
        <v>46248.85268023148</v>
      </c>
      <c r="C33" s="40">
        <f>SUMIFS(MASTER_SALES!G:G, MASTER_SALES!A:A, "&gt;="&amp;A33, MASTER_SALES!A:A, "&lt;="&amp;B33)</f>
        <v>418000</v>
      </c>
      <c r="D33" s="40">
        <f>SUMIFS(MASTER_SALES!N:N, MASTER_SALES!A:A, "&gt;="&amp;A33, MASTER_SALES!A:A, "&lt;="&amp;B33)</f>
        <v>52430</v>
      </c>
      <c r="E33" s="40">
        <f t="shared" si="1"/>
        <v>365570</v>
      </c>
      <c r="F33" s="41">
        <f t="shared" si="2"/>
        <v>0.874569378</v>
      </c>
      <c r="G33" s="40">
        <f>SUMIFS('💰 EXPENSES'!F:F, '💰 EXPENSES'!A:A, "&gt;="&amp;A33, '💰 EXPENSES'!A:A, "&lt;="&amp;B33)</f>
        <v>502000</v>
      </c>
      <c r="H33" s="40">
        <f t="shared" si="3"/>
        <v>-136430</v>
      </c>
      <c r="I33" s="41">
        <f t="shared" si="4"/>
        <v>-0.3263875598</v>
      </c>
      <c r="J33" s="40">
        <f>SUMIFS(MASTER_SALES!E:E, MASTER_SALES!A:A, "&gt;="&amp;A33, MASTER_SALES!A:A, "&lt;="&amp;B33)</f>
        <v>101</v>
      </c>
      <c r="K33" s="7"/>
      <c r="L33" s="41">
        <f t="shared" si="5"/>
        <v>4.573333333</v>
      </c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39">
        <v>46249.0</v>
      </c>
      <c r="B34" s="39">
        <v>46255.0</v>
      </c>
      <c r="C34" s="40">
        <f>SUMIFS(MASTER_SALES!G:G, MASTER_SALES!A:A, "&gt;="&amp;A34, MASTER_SALES!A:A, "&lt;="&amp;B34)</f>
        <v>53000</v>
      </c>
      <c r="D34" s="40">
        <f>SUMIFS(MASTER_SALES!N:N, MASTER_SALES!A:A, "&gt;="&amp;A34, MASTER_SALES!A:A, "&lt;="&amp;B34)</f>
        <v>19259.99667</v>
      </c>
      <c r="E34" s="40">
        <f t="shared" si="1"/>
        <v>33740.00333</v>
      </c>
      <c r="F34" s="41">
        <f t="shared" si="2"/>
        <v>0.6366038365</v>
      </c>
      <c r="G34" s="40">
        <f>SUMIFS('💰 EXPENSES'!F:F, '💰 EXPENSES'!A:A, "&gt;="&amp;A34, '💰 EXPENSES'!A:A, "&lt;="&amp;B34)</f>
        <v>33000</v>
      </c>
      <c r="H34" s="40">
        <f t="shared" si="3"/>
        <v>740.0033333</v>
      </c>
      <c r="I34" s="41">
        <f t="shared" si="4"/>
        <v>0.01396232704</v>
      </c>
      <c r="J34" s="40">
        <f>SUMIFS(MASTER_SALES!E:E, MASTER_SALES!A:A, "&gt;="&amp;A34, MASTER_SALES!A:A, "&lt;="&amp;B34)</f>
        <v>9</v>
      </c>
      <c r="K34" s="7"/>
      <c r="L34" s="41">
        <f t="shared" si="5"/>
        <v>-0.8732057416</v>
      </c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39">
        <v>46256.0</v>
      </c>
      <c r="B35" s="39">
        <v>46262.0</v>
      </c>
      <c r="C35" s="40">
        <f>SUMIFS(MASTER_SALES!G:G, MASTER_SALES!A:A, "&gt;="&amp;A35, MASTER_SALES!A:A, "&lt;="&amp;B35)</f>
        <v>0</v>
      </c>
      <c r="D35" s="40">
        <f>SUMIFS(MASTER_SALES!N:N, MASTER_SALES!A:A, "&gt;="&amp;A35, MASTER_SALES!A:A, "&lt;="&amp;B35)</f>
        <v>0</v>
      </c>
      <c r="E35" s="40">
        <f t="shared" si="1"/>
        <v>0</v>
      </c>
      <c r="F35" s="41">
        <f t="shared" si="2"/>
        <v>0</v>
      </c>
      <c r="G35" s="40">
        <f>SUMIFS('💰 EXPENSES'!F:F, '💰 EXPENSES'!A:A, "&gt;="&amp;A35, '💰 EXPENSES'!A:A, "&lt;="&amp;B35)</f>
        <v>0</v>
      </c>
      <c r="H35" s="40">
        <f t="shared" si="3"/>
        <v>0</v>
      </c>
      <c r="I35" s="41">
        <f t="shared" si="4"/>
        <v>0</v>
      </c>
      <c r="J35" s="40">
        <f>SUMIFS(MASTER_SALES!E:E, MASTER_SALES!A:A, "&gt;="&amp;A35, MASTER_SALES!A:A, "&lt;="&amp;B35)</f>
        <v>0</v>
      </c>
      <c r="K35" s="7"/>
      <c r="L35" s="41">
        <f t="shared" si="5"/>
        <v>-1</v>
      </c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39">
        <v>46263.0</v>
      </c>
      <c r="B36" s="39">
        <v>46269.0</v>
      </c>
      <c r="C36" s="40">
        <f>SUMIFS(MASTER_SALES!G:G, MASTER_SALES!A:A, "&gt;="&amp;A36, MASTER_SALES!A:A, "&lt;="&amp;B36)</f>
        <v>0</v>
      </c>
      <c r="D36" s="40">
        <f>SUMIFS(MASTER_SALES!N:N, MASTER_SALES!A:A, "&gt;="&amp;A36, MASTER_SALES!A:A, "&lt;="&amp;B36)</f>
        <v>0</v>
      </c>
      <c r="E36" s="40">
        <f t="shared" si="1"/>
        <v>0</v>
      </c>
      <c r="F36" s="41">
        <f t="shared" si="2"/>
        <v>0</v>
      </c>
      <c r="G36" s="40">
        <f>SUMIFS('💰 EXPENSES'!F:F, '💰 EXPENSES'!A:A, "&gt;="&amp;A36, '💰 EXPENSES'!A:A, "&lt;="&amp;B36)</f>
        <v>0</v>
      </c>
      <c r="H36" s="40">
        <f t="shared" si="3"/>
        <v>0</v>
      </c>
      <c r="I36" s="41">
        <f t="shared" si="4"/>
        <v>0</v>
      </c>
      <c r="J36" s="40">
        <f>SUMIFS(MASTER_SALES!E:E, MASTER_SALES!A:A, "&gt;="&amp;A36, MASTER_SALES!A:A, "&lt;="&amp;B36)</f>
        <v>0</v>
      </c>
      <c r="K36" s="7"/>
      <c r="L36" s="41">
        <f t="shared" si="5"/>
        <v>0</v>
      </c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39">
        <v>46270.0</v>
      </c>
      <c r="B37" s="39">
        <v>46276.0</v>
      </c>
      <c r="C37" s="40">
        <f>SUMIFS(MASTER_SALES!G:G, MASTER_SALES!A:A, "&gt;="&amp;A37, MASTER_SALES!A:A, "&lt;="&amp;B37)</f>
        <v>0</v>
      </c>
      <c r="D37" s="40">
        <f>SUMIFS(MASTER_SALES!N:N, MASTER_SALES!A:A, "&gt;="&amp;A37, MASTER_SALES!A:A, "&lt;="&amp;B37)</f>
        <v>0</v>
      </c>
      <c r="E37" s="40">
        <f t="shared" si="1"/>
        <v>0</v>
      </c>
      <c r="F37" s="41">
        <f t="shared" si="2"/>
        <v>0</v>
      </c>
      <c r="G37" s="40">
        <f>SUMIFS('💰 EXPENSES'!F:F, '💰 EXPENSES'!A:A, "&gt;="&amp;A37, '💰 EXPENSES'!A:A, "&lt;="&amp;B37)</f>
        <v>0</v>
      </c>
      <c r="H37" s="40">
        <f t="shared" si="3"/>
        <v>0</v>
      </c>
      <c r="I37" s="41">
        <f t="shared" si="4"/>
        <v>0</v>
      </c>
      <c r="J37" s="40">
        <f>SUMIFS(MASTER_SALES!E:E, MASTER_SALES!A:A, "&gt;="&amp;A37, MASTER_SALES!A:A, "&lt;="&amp;B37)</f>
        <v>0</v>
      </c>
      <c r="K37" s="7"/>
      <c r="L37" s="41">
        <f t="shared" si="5"/>
        <v>0</v>
      </c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39">
        <v>46277.0</v>
      </c>
      <c r="B38" s="39">
        <v>46283.0</v>
      </c>
      <c r="C38" s="40">
        <f>SUMIFS(MASTER_SALES!G:G, MASTER_SALES!A:A, "&gt;="&amp;A38, MASTER_SALES!A:A, "&lt;="&amp;B38)</f>
        <v>0</v>
      </c>
      <c r="D38" s="40">
        <f>SUMIFS(MASTER_SALES!N:N, MASTER_SALES!A:A, "&gt;="&amp;A38, MASTER_SALES!A:A, "&lt;="&amp;B38)</f>
        <v>0</v>
      </c>
      <c r="E38" s="40">
        <f t="shared" si="1"/>
        <v>0</v>
      </c>
      <c r="F38" s="41">
        <f t="shared" si="2"/>
        <v>0</v>
      </c>
      <c r="G38" s="40">
        <f>SUMIFS('💰 EXPENSES'!F:F, '💰 EXPENSES'!A:A, "&gt;="&amp;A38, '💰 EXPENSES'!A:A, "&lt;="&amp;B38)</f>
        <v>0</v>
      </c>
      <c r="H38" s="40">
        <f t="shared" si="3"/>
        <v>0</v>
      </c>
      <c r="I38" s="41">
        <f t="shared" si="4"/>
        <v>0</v>
      </c>
      <c r="J38" s="40">
        <f>SUMIFS(MASTER_SALES!E:E, MASTER_SALES!A:A, "&gt;="&amp;A38, MASTER_SALES!A:A, "&lt;="&amp;B38)</f>
        <v>0</v>
      </c>
      <c r="K38" s="7"/>
      <c r="L38" s="41">
        <f t="shared" si="5"/>
        <v>0</v>
      </c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39">
        <v>46284.0</v>
      </c>
      <c r="B39" s="39">
        <v>46290.0</v>
      </c>
      <c r="C39" s="40">
        <f>SUMIFS(MASTER_SALES!G:G, MASTER_SALES!A:A, "&gt;="&amp;A39, MASTER_SALES!A:A, "&lt;="&amp;B39)</f>
        <v>0</v>
      </c>
      <c r="D39" s="40">
        <f>SUMIFS(MASTER_SALES!N:N, MASTER_SALES!A:A, "&gt;="&amp;A39, MASTER_SALES!A:A, "&lt;="&amp;B39)</f>
        <v>0</v>
      </c>
      <c r="E39" s="40">
        <f t="shared" si="1"/>
        <v>0</v>
      </c>
      <c r="F39" s="41">
        <f t="shared" si="2"/>
        <v>0</v>
      </c>
      <c r="G39" s="40">
        <f>SUMIFS('💰 EXPENSES'!F:F, '💰 EXPENSES'!A:A, "&gt;="&amp;A39, '💰 EXPENSES'!A:A, "&lt;="&amp;B39)</f>
        <v>0</v>
      </c>
      <c r="H39" s="40">
        <f t="shared" si="3"/>
        <v>0</v>
      </c>
      <c r="I39" s="41">
        <f t="shared" si="4"/>
        <v>0</v>
      </c>
      <c r="J39" s="40">
        <f>SUMIFS(MASTER_SALES!E:E, MASTER_SALES!A:A, "&gt;="&amp;A39, MASTER_SALES!A:A, "&lt;="&amp;B39)</f>
        <v>0</v>
      </c>
      <c r="K39" s="7"/>
      <c r="L39" s="41">
        <f t="shared" si="5"/>
        <v>0</v>
      </c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39">
        <v>46291.0</v>
      </c>
      <c r="B40" s="39">
        <v>46297.0</v>
      </c>
      <c r="C40" s="40">
        <f>SUMIFS(MASTER_SALES!G:G, MASTER_SALES!A:A, "&gt;="&amp;A40, MASTER_SALES!A:A, "&lt;="&amp;B40)</f>
        <v>0</v>
      </c>
      <c r="D40" s="40">
        <f>SUMIFS(MASTER_SALES!N:N, MASTER_SALES!A:A, "&gt;="&amp;A40, MASTER_SALES!A:A, "&lt;="&amp;B40)</f>
        <v>0</v>
      </c>
      <c r="E40" s="40">
        <f t="shared" si="1"/>
        <v>0</v>
      </c>
      <c r="F40" s="41">
        <f t="shared" si="2"/>
        <v>0</v>
      </c>
      <c r="G40" s="40">
        <f>SUMIFS('💰 EXPENSES'!F:F, '💰 EXPENSES'!A:A, "&gt;="&amp;A40, '💰 EXPENSES'!A:A, "&lt;="&amp;B40)</f>
        <v>0</v>
      </c>
      <c r="H40" s="40">
        <f t="shared" si="3"/>
        <v>0</v>
      </c>
      <c r="I40" s="41">
        <f t="shared" si="4"/>
        <v>0</v>
      </c>
      <c r="J40" s="40">
        <f>SUMIFS(MASTER_SALES!E:E, MASTER_SALES!A:A, "&gt;="&amp;A40, MASTER_SALES!A:A, "&lt;="&amp;B40)</f>
        <v>0</v>
      </c>
      <c r="K40" s="7"/>
      <c r="L40" s="41">
        <f t="shared" si="5"/>
        <v>0</v>
      </c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39">
        <v>46298.0</v>
      </c>
      <c r="B41" s="39">
        <v>46304.0</v>
      </c>
      <c r="C41" s="40">
        <f>SUMIFS(MASTER_SALES!G:G, MASTER_SALES!A:A, "&gt;="&amp;A41, MASTER_SALES!A:A, "&lt;="&amp;B41)</f>
        <v>0</v>
      </c>
      <c r="D41" s="40">
        <f>SUMIFS(MASTER_SALES!N:N, MASTER_SALES!A:A, "&gt;="&amp;A41, MASTER_SALES!A:A, "&lt;="&amp;B41)</f>
        <v>0</v>
      </c>
      <c r="E41" s="40">
        <f t="shared" si="1"/>
        <v>0</v>
      </c>
      <c r="F41" s="41">
        <f t="shared" si="2"/>
        <v>0</v>
      </c>
      <c r="G41" s="40">
        <f>SUMIFS('💰 EXPENSES'!F:F, '💰 EXPENSES'!A:A, "&gt;="&amp;A41, '💰 EXPENSES'!A:A, "&lt;="&amp;B41)</f>
        <v>0</v>
      </c>
      <c r="H41" s="40">
        <f t="shared" si="3"/>
        <v>0</v>
      </c>
      <c r="I41" s="41">
        <f t="shared" si="4"/>
        <v>0</v>
      </c>
      <c r="J41" s="40">
        <f>SUMIFS(MASTER_SALES!E:E, MASTER_SALES!A:A, "&gt;="&amp;A41, MASTER_SALES!A:A, "&lt;="&amp;B41)</f>
        <v>0</v>
      </c>
      <c r="K41" s="7"/>
      <c r="L41" s="41">
        <f t="shared" si="5"/>
        <v>0</v>
      </c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39">
        <v>46305.0</v>
      </c>
      <c r="B42" s="39">
        <v>46311.0</v>
      </c>
      <c r="C42" s="40">
        <f>SUMIFS(MASTER_SALES!G:G, MASTER_SALES!A:A, "&gt;="&amp;A42, MASTER_SALES!A:A, "&lt;="&amp;B42)</f>
        <v>0</v>
      </c>
      <c r="D42" s="40">
        <f>SUMIFS(MASTER_SALES!N:N, MASTER_SALES!A:A, "&gt;="&amp;A42, MASTER_SALES!A:A, "&lt;="&amp;B42)</f>
        <v>0</v>
      </c>
      <c r="E42" s="40">
        <f t="shared" si="1"/>
        <v>0</v>
      </c>
      <c r="F42" s="41">
        <f t="shared" si="2"/>
        <v>0</v>
      </c>
      <c r="G42" s="40">
        <f>SUMIFS('💰 EXPENSES'!F:F, '💰 EXPENSES'!A:A, "&gt;="&amp;A42, '💰 EXPENSES'!A:A, "&lt;="&amp;B42)</f>
        <v>0</v>
      </c>
      <c r="H42" s="40">
        <f t="shared" si="3"/>
        <v>0</v>
      </c>
      <c r="I42" s="41">
        <f t="shared" si="4"/>
        <v>0</v>
      </c>
      <c r="J42" s="40">
        <f>SUMIFS(MASTER_SALES!E:E, MASTER_SALES!A:A, "&gt;="&amp;A42, MASTER_SALES!A:A, "&lt;="&amp;B42)</f>
        <v>0</v>
      </c>
      <c r="K42" s="7"/>
      <c r="L42" s="41">
        <f t="shared" si="5"/>
        <v>0</v>
      </c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39">
        <v>46312.0</v>
      </c>
      <c r="B43" s="39">
        <v>46318.0</v>
      </c>
      <c r="C43" s="40">
        <f>SUMIFS(MASTER_SALES!G:G, MASTER_SALES!A:A, "&gt;="&amp;A43, MASTER_SALES!A:A, "&lt;="&amp;B43)</f>
        <v>0</v>
      </c>
      <c r="D43" s="40">
        <f>SUMIFS(MASTER_SALES!N:N, MASTER_SALES!A:A, "&gt;="&amp;A43, MASTER_SALES!A:A, "&lt;="&amp;B43)</f>
        <v>0</v>
      </c>
      <c r="E43" s="40">
        <f t="shared" si="1"/>
        <v>0</v>
      </c>
      <c r="F43" s="41">
        <f t="shared" si="2"/>
        <v>0</v>
      </c>
      <c r="G43" s="40">
        <f>SUMIFS('💰 EXPENSES'!F:F, '💰 EXPENSES'!A:A, "&gt;="&amp;A43, '💰 EXPENSES'!A:A, "&lt;="&amp;B43)</f>
        <v>0</v>
      </c>
      <c r="H43" s="40">
        <f t="shared" si="3"/>
        <v>0</v>
      </c>
      <c r="I43" s="41">
        <f t="shared" si="4"/>
        <v>0</v>
      </c>
      <c r="J43" s="40">
        <f>SUMIFS(MASTER_SALES!E:E, MASTER_SALES!A:A, "&gt;="&amp;A43, MASTER_SALES!A:A, "&lt;="&amp;B43)</f>
        <v>0</v>
      </c>
      <c r="K43" s="7"/>
      <c r="L43" s="41">
        <f t="shared" si="5"/>
        <v>0</v>
      </c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39">
        <v>46319.0</v>
      </c>
      <c r="B44" s="39">
        <v>46325.0</v>
      </c>
      <c r="C44" s="40">
        <f>SUMIFS(MASTER_SALES!G:G, MASTER_SALES!A:A, "&gt;="&amp;A44, MASTER_SALES!A:A, "&lt;="&amp;B44)</f>
        <v>0</v>
      </c>
      <c r="D44" s="40">
        <f>SUMIFS(MASTER_SALES!N:N, MASTER_SALES!A:A, "&gt;="&amp;A44, MASTER_SALES!A:A, "&lt;="&amp;B44)</f>
        <v>0</v>
      </c>
      <c r="E44" s="40">
        <f t="shared" si="1"/>
        <v>0</v>
      </c>
      <c r="F44" s="41">
        <f t="shared" si="2"/>
        <v>0</v>
      </c>
      <c r="G44" s="40">
        <f>SUMIFS('💰 EXPENSES'!F:F, '💰 EXPENSES'!A:A, "&gt;="&amp;A44, '💰 EXPENSES'!A:A, "&lt;="&amp;B44)</f>
        <v>0</v>
      </c>
      <c r="H44" s="40">
        <f t="shared" si="3"/>
        <v>0</v>
      </c>
      <c r="I44" s="41">
        <f t="shared" si="4"/>
        <v>0</v>
      </c>
      <c r="J44" s="40">
        <f>SUMIFS(MASTER_SALES!E:E, MASTER_SALES!A:A, "&gt;="&amp;A44, MASTER_SALES!A:A, "&lt;="&amp;B44)</f>
        <v>0</v>
      </c>
      <c r="K44" s="7"/>
      <c r="L44" s="41">
        <f t="shared" si="5"/>
        <v>0</v>
      </c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39">
        <v>46326.0</v>
      </c>
      <c r="B45" s="39">
        <v>46332.0</v>
      </c>
      <c r="C45" s="40">
        <f>SUMIFS(MASTER_SALES!G:G, MASTER_SALES!A:A, "&gt;="&amp;A45, MASTER_SALES!A:A, "&lt;="&amp;B45)</f>
        <v>0</v>
      </c>
      <c r="D45" s="40">
        <f>SUMIFS(MASTER_SALES!N:N, MASTER_SALES!A:A, "&gt;="&amp;A45, MASTER_SALES!A:A, "&lt;="&amp;B45)</f>
        <v>0</v>
      </c>
      <c r="E45" s="40">
        <f t="shared" si="1"/>
        <v>0</v>
      </c>
      <c r="F45" s="41">
        <f t="shared" si="2"/>
        <v>0</v>
      </c>
      <c r="G45" s="40">
        <f>SUMIFS('💰 EXPENSES'!F:F, '💰 EXPENSES'!A:A, "&gt;="&amp;A45, '💰 EXPENSES'!A:A, "&lt;="&amp;B45)</f>
        <v>0</v>
      </c>
      <c r="H45" s="40">
        <f t="shared" si="3"/>
        <v>0</v>
      </c>
      <c r="I45" s="41">
        <f t="shared" si="4"/>
        <v>0</v>
      </c>
      <c r="J45" s="40">
        <f>SUMIFS(MASTER_SALES!E:E, MASTER_SALES!A:A, "&gt;="&amp;A45, MASTER_SALES!A:A, "&lt;="&amp;B45)</f>
        <v>0</v>
      </c>
      <c r="K45" s="7"/>
      <c r="L45" s="41">
        <f t="shared" si="5"/>
        <v>0</v>
      </c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39">
        <v>46333.0</v>
      </c>
      <c r="B46" s="39">
        <v>46339.0</v>
      </c>
      <c r="C46" s="40">
        <f>SUMIFS(MASTER_SALES!G:G, MASTER_SALES!A:A, "&gt;="&amp;A46, MASTER_SALES!A:A, "&lt;="&amp;B46)</f>
        <v>0</v>
      </c>
      <c r="D46" s="40">
        <f>SUMIFS(MASTER_SALES!N:N, MASTER_SALES!A:A, "&gt;="&amp;A46, MASTER_SALES!A:A, "&lt;="&amp;B46)</f>
        <v>0</v>
      </c>
      <c r="E46" s="40">
        <f t="shared" si="1"/>
        <v>0</v>
      </c>
      <c r="F46" s="41">
        <f t="shared" si="2"/>
        <v>0</v>
      </c>
      <c r="G46" s="40">
        <f>SUMIFS('💰 EXPENSES'!F:F, '💰 EXPENSES'!A:A, "&gt;="&amp;A46, '💰 EXPENSES'!A:A, "&lt;="&amp;B46)</f>
        <v>0</v>
      </c>
      <c r="H46" s="40">
        <f t="shared" si="3"/>
        <v>0</v>
      </c>
      <c r="I46" s="41">
        <f t="shared" si="4"/>
        <v>0</v>
      </c>
      <c r="J46" s="40">
        <f>SUMIFS(MASTER_SALES!E:E, MASTER_SALES!A:A, "&gt;="&amp;A46, MASTER_SALES!A:A, "&lt;="&amp;B46)</f>
        <v>0</v>
      </c>
      <c r="K46" s="7"/>
      <c r="L46" s="41">
        <f t="shared" si="5"/>
        <v>0</v>
      </c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39">
        <v>46340.0</v>
      </c>
      <c r="B47" s="39">
        <v>46346.0</v>
      </c>
      <c r="C47" s="40">
        <f>SUMIFS(MASTER_SALES!G:G, MASTER_SALES!A:A, "&gt;="&amp;A47, MASTER_SALES!A:A, "&lt;="&amp;B47)</f>
        <v>0</v>
      </c>
      <c r="D47" s="40">
        <f>SUMIFS(MASTER_SALES!N:N, MASTER_SALES!A:A, "&gt;="&amp;A47, MASTER_SALES!A:A, "&lt;="&amp;B47)</f>
        <v>0</v>
      </c>
      <c r="E47" s="40">
        <f t="shared" si="1"/>
        <v>0</v>
      </c>
      <c r="F47" s="41">
        <f t="shared" si="2"/>
        <v>0</v>
      </c>
      <c r="G47" s="40">
        <f>SUMIFS('💰 EXPENSES'!F:F, '💰 EXPENSES'!A:A, "&gt;="&amp;A47, '💰 EXPENSES'!A:A, "&lt;="&amp;B47)</f>
        <v>0</v>
      </c>
      <c r="H47" s="40">
        <f t="shared" si="3"/>
        <v>0</v>
      </c>
      <c r="I47" s="41">
        <f t="shared" si="4"/>
        <v>0</v>
      </c>
      <c r="J47" s="40">
        <f>SUMIFS(MASTER_SALES!E:E, MASTER_SALES!A:A, "&gt;="&amp;A47, MASTER_SALES!A:A, "&lt;="&amp;B47)</f>
        <v>0</v>
      </c>
      <c r="K47" s="7"/>
      <c r="L47" s="41">
        <f t="shared" si="5"/>
        <v>0</v>
      </c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39">
        <v>46347.0</v>
      </c>
      <c r="B48" s="39">
        <v>46353.0</v>
      </c>
      <c r="C48" s="40">
        <f>SUMIFS(MASTER_SALES!G:G, MASTER_SALES!A:A, "&gt;="&amp;A48, MASTER_SALES!A:A, "&lt;="&amp;B48)</f>
        <v>0</v>
      </c>
      <c r="D48" s="40">
        <f>SUMIFS(MASTER_SALES!N:N, MASTER_SALES!A:A, "&gt;="&amp;A48, MASTER_SALES!A:A, "&lt;="&amp;B48)</f>
        <v>0</v>
      </c>
      <c r="E48" s="40">
        <f t="shared" si="1"/>
        <v>0</v>
      </c>
      <c r="F48" s="41">
        <f t="shared" si="2"/>
        <v>0</v>
      </c>
      <c r="G48" s="40">
        <f>SUMIFS('💰 EXPENSES'!F:F, '💰 EXPENSES'!A:A, "&gt;="&amp;A48, '💰 EXPENSES'!A:A, "&lt;="&amp;B48)</f>
        <v>0</v>
      </c>
      <c r="H48" s="40">
        <f t="shared" si="3"/>
        <v>0</v>
      </c>
      <c r="I48" s="41">
        <f t="shared" si="4"/>
        <v>0</v>
      </c>
      <c r="J48" s="40">
        <f>SUMIFS(MASTER_SALES!E:E, MASTER_SALES!A:A, "&gt;="&amp;A48, MASTER_SALES!A:A, "&lt;="&amp;B48)</f>
        <v>0</v>
      </c>
      <c r="K48" s="7"/>
      <c r="L48" s="41">
        <f t="shared" si="5"/>
        <v>0</v>
      </c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39">
        <v>46354.0</v>
      </c>
      <c r="B49" s="39">
        <v>46360.0</v>
      </c>
      <c r="C49" s="40">
        <f>SUMIFS(MASTER_SALES!G:G, MASTER_SALES!A:A, "&gt;="&amp;A49, MASTER_SALES!A:A, "&lt;="&amp;B49)</f>
        <v>0</v>
      </c>
      <c r="D49" s="40">
        <f>SUMIFS(MASTER_SALES!N:N, MASTER_SALES!A:A, "&gt;="&amp;A49, MASTER_SALES!A:A, "&lt;="&amp;B49)</f>
        <v>0</v>
      </c>
      <c r="E49" s="40">
        <f t="shared" si="1"/>
        <v>0</v>
      </c>
      <c r="F49" s="41">
        <f t="shared" si="2"/>
        <v>0</v>
      </c>
      <c r="G49" s="40">
        <f>SUMIFS('💰 EXPENSES'!F:F, '💰 EXPENSES'!A:A, "&gt;="&amp;A49, '💰 EXPENSES'!A:A, "&lt;="&amp;B49)</f>
        <v>0</v>
      </c>
      <c r="H49" s="40">
        <f t="shared" si="3"/>
        <v>0</v>
      </c>
      <c r="I49" s="41">
        <f t="shared" si="4"/>
        <v>0</v>
      </c>
      <c r="J49" s="40">
        <f>SUMIFS(MASTER_SALES!E:E, MASTER_SALES!A:A, "&gt;="&amp;A49, MASTER_SALES!A:A, "&lt;="&amp;B49)</f>
        <v>0</v>
      </c>
      <c r="K49" s="7"/>
      <c r="L49" s="41">
        <f t="shared" si="5"/>
        <v>0</v>
      </c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39">
        <v>46361.0</v>
      </c>
      <c r="B50" s="39">
        <v>46367.0</v>
      </c>
      <c r="C50" s="40">
        <f>SUMIFS(MASTER_SALES!G:G, MASTER_SALES!A:A, "&gt;="&amp;A50, MASTER_SALES!A:A, "&lt;="&amp;B50)</f>
        <v>0</v>
      </c>
      <c r="D50" s="40">
        <f>SUMIFS(MASTER_SALES!N:N, MASTER_SALES!A:A, "&gt;="&amp;A50, MASTER_SALES!A:A, "&lt;="&amp;B50)</f>
        <v>0</v>
      </c>
      <c r="E50" s="40">
        <f t="shared" si="1"/>
        <v>0</v>
      </c>
      <c r="F50" s="41">
        <f t="shared" si="2"/>
        <v>0</v>
      </c>
      <c r="G50" s="40">
        <f>SUMIFS('💰 EXPENSES'!F:F, '💰 EXPENSES'!A:A, "&gt;="&amp;A50, '💰 EXPENSES'!A:A, "&lt;="&amp;B50)</f>
        <v>0</v>
      </c>
      <c r="H50" s="40">
        <f t="shared" si="3"/>
        <v>0</v>
      </c>
      <c r="I50" s="41">
        <f t="shared" si="4"/>
        <v>0</v>
      </c>
      <c r="J50" s="40">
        <f>SUMIFS(MASTER_SALES!E:E, MASTER_SALES!A:A, "&gt;="&amp;A50, MASTER_SALES!A:A, "&lt;="&amp;B50)</f>
        <v>0</v>
      </c>
      <c r="K50" s="7"/>
      <c r="L50" s="41">
        <f t="shared" si="5"/>
        <v>0</v>
      </c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39">
        <v>46368.0</v>
      </c>
      <c r="B51" s="39">
        <v>46374.0</v>
      </c>
      <c r="C51" s="40">
        <f>SUMIFS(MASTER_SALES!G:G, MASTER_SALES!A:A, "&gt;="&amp;A51, MASTER_SALES!A:A, "&lt;="&amp;B51)</f>
        <v>0</v>
      </c>
      <c r="D51" s="40">
        <f>SUMIFS(MASTER_SALES!N:N, MASTER_SALES!A:A, "&gt;="&amp;A51, MASTER_SALES!A:A, "&lt;="&amp;B51)</f>
        <v>0</v>
      </c>
      <c r="E51" s="40">
        <f t="shared" si="1"/>
        <v>0</v>
      </c>
      <c r="F51" s="41">
        <f t="shared" si="2"/>
        <v>0</v>
      </c>
      <c r="G51" s="40">
        <f>SUMIFS('💰 EXPENSES'!F:F, '💰 EXPENSES'!A:A, "&gt;="&amp;A51, '💰 EXPENSES'!A:A, "&lt;="&amp;B51)</f>
        <v>0</v>
      </c>
      <c r="H51" s="40">
        <f t="shared" si="3"/>
        <v>0</v>
      </c>
      <c r="I51" s="41">
        <f t="shared" si="4"/>
        <v>0</v>
      </c>
      <c r="J51" s="40">
        <f>SUMIFS(MASTER_SALES!E:E, MASTER_SALES!A:A, "&gt;="&amp;A51, MASTER_SALES!A:A, "&lt;="&amp;B51)</f>
        <v>0</v>
      </c>
      <c r="K51" s="7"/>
      <c r="L51" s="41">
        <f t="shared" si="5"/>
        <v>0</v>
      </c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39">
        <v>46375.0</v>
      </c>
      <c r="B52" s="39">
        <v>46381.0</v>
      </c>
      <c r="C52" s="40">
        <f>SUMIFS(MASTER_SALES!G:G, MASTER_SALES!A:A, "&gt;="&amp;A52, MASTER_SALES!A:A, "&lt;="&amp;B52)</f>
        <v>0</v>
      </c>
      <c r="D52" s="40">
        <f>SUMIFS(MASTER_SALES!N:N, MASTER_SALES!A:A, "&gt;="&amp;A52, MASTER_SALES!A:A, "&lt;="&amp;B52)</f>
        <v>0</v>
      </c>
      <c r="E52" s="40">
        <f t="shared" si="1"/>
        <v>0</v>
      </c>
      <c r="F52" s="41">
        <f t="shared" si="2"/>
        <v>0</v>
      </c>
      <c r="G52" s="40">
        <f>SUMIFS('💰 EXPENSES'!F:F, '💰 EXPENSES'!A:A, "&gt;="&amp;A52, '💰 EXPENSES'!A:A, "&lt;="&amp;B52)</f>
        <v>0</v>
      </c>
      <c r="H52" s="40">
        <f t="shared" si="3"/>
        <v>0</v>
      </c>
      <c r="I52" s="41">
        <f t="shared" si="4"/>
        <v>0</v>
      </c>
      <c r="J52" s="40">
        <f>SUMIFS(MASTER_SALES!E:E, MASTER_SALES!A:A, "&gt;="&amp;A52, MASTER_SALES!A:A, "&lt;="&amp;B52)</f>
        <v>0</v>
      </c>
      <c r="K52" s="7"/>
      <c r="L52" s="41">
        <f t="shared" si="5"/>
        <v>0</v>
      </c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39">
        <v>46382.0</v>
      </c>
      <c r="B53" s="39">
        <v>46388.0</v>
      </c>
      <c r="C53" s="40">
        <f>SUMIFS(MASTER_SALES!G:G, MASTER_SALES!A:A, "&gt;="&amp;A53, MASTER_SALES!A:A, "&lt;="&amp;B53)</f>
        <v>0</v>
      </c>
      <c r="D53" s="40">
        <f>SUMIFS(MASTER_SALES!N:N, MASTER_SALES!A:A, "&gt;="&amp;A53, MASTER_SALES!A:A, "&lt;="&amp;B53)</f>
        <v>0</v>
      </c>
      <c r="E53" s="40">
        <f t="shared" si="1"/>
        <v>0</v>
      </c>
      <c r="F53" s="41">
        <f t="shared" si="2"/>
        <v>0</v>
      </c>
      <c r="G53" s="40">
        <f>SUMIFS('💰 EXPENSES'!F:F, '💰 EXPENSES'!A:A, "&gt;="&amp;A53, '💰 EXPENSES'!A:A, "&lt;="&amp;B53)</f>
        <v>0</v>
      </c>
      <c r="H53" s="40">
        <f t="shared" si="3"/>
        <v>0</v>
      </c>
      <c r="I53" s="41">
        <f t="shared" si="4"/>
        <v>0</v>
      </c>
      <c r="J53" s="40">
        <f>SUMIFS(MASTER_SALES!E:E, MASTER_SALES!A:A, "&gt;="&amp;A53, MASTER_SALES!A:A, "&lt;="&amp;B53)</f>
        <v>0</v>
      </c>
      <c r="K53" s="7"/>
      <c r="L53" s="41">
        <f t="shared" si="5"/>
        <v>0</v>
      </c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39">
        <v>46389.0</v>
      </c>
      <c r="B54" s="39">
        <v>46395.0</v>
      </c>
      <c r="C54" s="40">
        <f>SUMIFS(MASTER_SALES!G:G, MASTER_SALES!A:A, "&gt;="&amp;A54, MASTER_SALES!A:A, "&lt;="&amp;B54)</f>
        <v>0</v>
      </c>
      <c r="D54" s="40">
        <f>SUMIFS(MASTER_SALES!N:N, MASTER_SALES!A:A, "&gt;="&amp;A54, MASTER_SALES!A:A, "&lt;="&amp;B54)</f>
        <v>0</v>
      </c>
      <c r="E54" s="40">
        <f t="shared" si="1"/>
        <v>0</v>
      </c>
      <c r="F54" s="41">
        <f t="shared" si="2"/>
        <v>0</v>
      </c>
      <c r="G54" s="40">
        <f>SUMIFS('💰 EXPENSES'!F:F, '💰 EXPENSES'!A:A, "&gt;="&amp;A54, '💰 EXPENSES'!A:A, "&lt;="&amp;B54)</f>
        <v>0</v>
      </c>
      <c r="H54" s="40">
        <f t="shared" si="3"/>
        <v>0</v>
      </c>
      <c r="I54" s="41">
        <f t="shared" si="4"/>
        <v>0</v>
      </c>
      <c r="J54" s="40">
        <f>SUMIFS(MASTER_SALES!E:E, MASTER_SALES!A:A, "&gt;="&amp;A54, MASTER_SALES!A:A, "&lt;="&amp;B54)</f>
        <v>0</v>
      </c>
      <c r="K54" s="7"/>
      <c r="L54" s="41">
        <f t="shared" si="5"/>
        <v>0</v>
      </c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39">
        <v>46396.0</v>
      </c>
      <c r="B55" s="39">
        <v>46402.0</v>
      </c>
      <c r="C55" s="40">
        <f>SUMIFS(MASTER_SALES!G:G, MASTER_SALES!A:A, "&gt;="&amp;A55, MASTER_SALES!A:A, "&lt;="&amp;B55)</f>
        <v>0</v>
      </c>
      <c r="D55" s="40">
        <f>SUMIFS(MASTER_SALES!N:N, MASTER_SALES!A:A, "&gt;="&amp;A55, MASTER_SALES!A:A, "&lt;="&amp;B55)</f>
        <v>0</v>
      </c>
      <c r="E55" s="40">
        <f t="shared" si="1"/>
        <v>0</v>
      </c>
      <c r="F55" s="41">
        <f t="shared" si="2"/>
        <v>0</v>
      </c>
      <c r="G55" s="40">
        <f>SUMIFS('💰 EXPENSES'!F:F, '💰 EXPENSES'!A:A, "&gt;="&amp;A55, '💰 EXPENSES'!A:A, "&lt;="&amp;B55)</f>
        <v>0</v>
      </c>
      <c r="H55" s="40">
        <f t="shared" si="3"/>
        <v>0</v>
      </c>
      <c r="I55" s="41">
        <f t="shared" si="4"/>
        <v>0</v>
      </c>
      <c r="J55" s="40">
        <f>SUMIFS(MASTER_SALES!E:E, MASTER_SALES!A:A, "&gt;="&amp;A55, MASTER_SALES!A:A, "&lt;="&amp;B55)</f>
        <v>0</v>
      </c>
      <c r="K55" s="7"/>
      <c r="L55" s="41">
        <f t="shared" si="5"/>
        <v>0</v>
      </c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39">
        <v>46403.0</v>
      </c>
      <c r="B56" s="39">
        <v>46409.0</v>
      </c>
      <c r="C56" s="40">
        <f>SUMIFS(MASTER_SALES!G:G, MASTER_SALES!A:A, "&gt;="&amp;A56, MASTER_SALES!A:A, "&lt;="&amp;B56)</f>
        <v>0</v>
      </c>
      <c r="D56" s="40">
        <f>SUMIFS(MASTER_SALES!N:N, MASTER_SALES!A:A, "&gt;="&amp;A56, MASTER_SALES!A:A, "&lt;="&amp;B56)</f>
        <v>0</v>
      </c>
      <c r="E56" s="40">
        <f t="shared" si="1"/>
        <v>0</v>
      </c>
      <c r="F56" s="41">
        <f t="shared" si="2"/>
        <v>0</v>
      </c>
      <c r="G56" s="40">
        <f>SUMIFS('💰 EXPENSES'!F:F, '💰 EXPENSES'!A:A, "&gt;="&amp;A56, '💰 EXPENSES'!A:A, "&lt;="&amp;B56)</f>
        <v>0</v>
      </c>
      <c r="H56" s="40">
        <f t="shared" si="3"/>
        <v>0</v>
      </c>
      <c r="I56" s="41">
        <f t="shared" si="4"/>
        <v>0</v>
      </c>
      <c r="J56" s="40">
        <f>SUMIFS(MASTER_SALES!E:E, MASTER_SALES!A:A, "&gt;="&amp;A56, MASTER_SALES!A:A, "&lt;="&amp;B56)</f>
        <v>0</v>
      </c>
      <c r="K56" s="7"/>
      <c r="L56" s="41">
        <f t="shared" si="5"/>
        <v>0</v>
      </c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39">
        <v>46410.0</v>
      </c>
      <c r="B57" s="39">
        <v>46416.0</v>
      </c>
      <c r="C57" s="40">
        <f>SUMIFS(MASTER_SALES!G:G, MASTER_SALES!A:A, "&gt;="&amp;A57, MASTER_SALES!A:A, "&lt;="&amp;B57)</f>
        <v>0</v>
      </c>
      <c r="D57" s="40">
        <f>SUMIFS(MASTER_SALES!N:N, MASTER_SALES!A:A, "&gt;="&amp;A57, MASTER_SALES!A:A, "&lt;="&amp;B57)</f>
        <v>0</v>
      </c>
      <c r="E57" s="40">
        <f t="shared" si="1"/>
        <v>0</v>
      </c>
      <c r="F57" s="41">
        <f t="shared" si="2"/>
        <v>0</v>
      </c>
      <c r="G57" s="40">
        <f>SUMIFS('💰 EXPENSES'!F:F, '💰 EXPENSES'!A:A, "&gt;="&amp;A57, '💰 EXPENSES'!A:A, "&lt;="&amp;B57)</f>
        <v>0</v>
      </c>
      <c r="H57" s="40">
        <f t="shared" si="3"/>
        <v>0</v>
      </c>
      <c r="I57" s="41">
        <f t="shared" si="4"/>
        <v>0</v>
      </c>
      <c r="J57" s="40">
        <f>SUMIFS(MASTER_SALES!E:E, MASTER_SALES!A:A, "&gt;="&amp;A57, MASTER_SALES!A:A, "&lt;="&amp;B57)</f>
        <v>0</v>
      </c>
      <c r="K57" s="7"/>
      <c r="L57" s="41">
        <f t="shared" si="5"/>
        <v>0</v>
      </c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39">
        <v>46417.0</v>
      </c>
      <c r="B58" s="39">
        <v>46423.0</v>
      </c>
      <c r="C58" s="40">
        <f>SUMIFS(MASTER_SALES!G:G, MASTER_SALES!A:A, "&gt;="&amp;A58, MASTER_SALES!A:A, "&lt;="&amp;B58)</f>
        <v>0</v>
      </c>
      <c r="D58" s="40">
        <f>SUMIFS(MASTER_SALES!N:N, MASTER_SALES!A:A, "&gt;="&amp;A58, MASTER_SALES!A:A, "&lt;="&amp;B58)</f>
        <v>0</v>
      </c>
      <c r="E58" s="40">
        <f t="shared" si="1"/>
        <v>0</v>
      </c>
      <c r="F58" s="41">
        <f t="shared" si="2"/>
        <v>0</v>
      </c>
      <c r="G58" s="40">
        <f>SUMIFS('💰 EXPENSES'!F:F, '💰 EXPENSES'!A:A, "&gt;="&amp;A58, '💰 EXPENSES'!A:A, "&lt;="&amp;B58)</f>
        <v>0</v>
      </c>
      <c r="H58" s="40">
        <f t="shared" si="3"/>
        <v>0</v>
      </c>
      <c r="I58" s="41">
        <f t="shared" si="4"/>
        <v>0</v>
      </c>
      <c r="J58" s="40">
        <f>SUMIFS(MASTER_SALES!E:E, MASTER_SALES!A:A, "&gt;="&amp;A58, MASTER_SALES!A:A, "&lt;="&amp;B58)</f>
        <v>0</v>
      </c>
      <c r="K58" s="7"/>
      <c r="L58" s="41">
        <f t="shared" si="5"/>
        <v>0</v>
      </c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39">
        <v>46424.0</v>
      </c>
      <c r="B59" s="39">
        <v>46430.0</v>
      </c>
      <c r="C59" s="40">
        <f>SUMIFS(MASTER_SALES!G:G, MASTER_SALES!A:A, "&gt;="&amp;A59, MASTER_SALES!A:A, "&lt;="&amp;B59)</f>
        <v>0</v>
      </c>
      <c r="D59" s="40">
        <f>SUMIFS(MASTER_SALES!N:N, MASTER_SALES!A:A, "&gt;="&amp;A59, MASTER_SALES!A:A, "&lt;="&amp;B59)</f>
        <v>0</v>
      </c>
      <c r="E59" s="40">
        <f t="shared" si="1"/>
        <v>0</v>
      </c>
      <c r="F59" s="41">
        <f t="shared" si="2"/>
        <v>0</v>
      </c>
      <c r="G59" s="40">
        <f>SUMIFS('💰 EXPENSES'!F:F, '💰 EXPENSES'!A:A, "&gt;="&amp;A59, '💰 EXPENSES'!A:A, "&lt;="&amp;B59)</f>
        <v>0</v>
      </c>
      <c r="H59" s="40">
        <f t="shared" si="3"/>
        <v>0</v>
      </c>
      <c r="I59" s="41">
        <f t="shared" si="4"/>
        <v>0</v>
      </c>
      <c r="J59" s="40">
        <f>SUMIFS(MASTER_SALES!E:E, MASTER_SALES!A:A, "&gt;="&amp;A59, MASTER_SALES!A:A, "&lt;="&amp;B59)</f>
        <v>0</v>
      </c>
      <c r="K59" s="7"/>
      <c r="L59" s="41">
        <f t="shared" si="5"/>
        <v>0</v>
      </c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39">
        <v>46431.0</v>
      </c>
      <c r="B60" s="39">
        <v>46437.0</v>
      </c>
      <c r="C60" s="40">
        <f>SUMIFS(MASTER_SALES!G:G, MASTER_SALES!A:A, "&gt;="&amp;A60, MASTER_SALES!A:A, "&lt;="&amp;B60)</f>
        <v>0</v>
      </c>
      <c r="D60" s="40">
        <f>SUMIFS(MASTER_SALES!N:N, MASTER_SALES!A:A, "&gt;="&amp;A60, MASTER_SALES!A:A, "&lt;="&amp;B60)</f>
        <v>0</v>
      </c>
      <c r="E60" s="40">
        <f t="shared" si="1"/>
        <v>0</v>
      </c>
      <c r="F60" s="41">
        <f t="shared" si="2"/>
        <v>0</v>
      </c>
      <c r="G60" s="40">
        <f>SUMIFS('💰 EXPENSES'!F:F, '💰 EXPENSES'!A:A, "&gt;="&amp;A60, '💰 EXPENSES'!A:A, "&lt;="&amp;B60)</f>
        <v>0</v>
      </c>
      <c r="H60" s="40">
        <f t="shared" si="3"/>
        <v>0</v>
      </c>
      <c r="I60" s="41">
        <f t="shared" si="4"/>
        <v>0</v>
      </c>
      <c r="J60" s="40">
        <f>SUMIFS(MASTER_SALES!E:E, MASTER_SALES!A:A, "&gt;="&amp;A60, MASTER_SALES!A:A, "&lt;="&amp;B60)</f>
        <v>0</v>
      </c>
      <c r="K60" s="7"/>
      <c r="L60" s="41">
        <f t="shared" si="5"/>
        <v>0</v>
      </c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39">
        <v>46438.0</v>
      </c>
      <c r="B61" s="39">
        <v>46444.0</v>
      </c>
      <c r="C61" s="40">
        <f>SUMIFS(MASTER_SALES!G:G, MASTER_SALES!A:A, "&gt;="&amp;A61, MASTER_SALES!A:A, "&lt;="&amp;B61)</f>
        <v>0</v>
      </c>
      <c r="D61" s="40">
        <f>SUMIFS(MASTER_SALES!N:N, MASTER_SALES!A:A, "&gt;="&amp;A61, MASTER_SALES!A:A, "&lt;="&amp;B61)</f>
        <v>0</v>
      </c>
      <c r="E61" s="40">
        <f t="shared" si="1"/>
        <v>0</v>
      </c>
      <c r="F61" s="41">
        <f t="shared" si="2"/>
        <v>0</v>
      </c>
      <c r="G61" s="40">
        <f>SUMIFS('💰 EXPENSES'!F:F, '💰 EXPENSES'!A:A, "&gt;="&amp;A61, '💰 EXPENSES'!A:A, "&lt;="&amp;B61)</f>
        <v>0</v>
      </c>
      <c r="H61" s="40">
        <f t="shared" si="3"/>
        <v>0</v>
      </c>
      <c r="I61" s="41">
        <f t="shared" si="4"/>
        <v>0</v>
      </c>
      <c r="J61" s="40">
        <f>SUMIFS(MASTER_SALES!E:E, MASTER_SALES!A:A, "&gt;="&amp;A61, MASTER_SALES!A:A, "&lt;="&amp;B61)</f>
        <v>0</v>
      </c>
      <c r="K61" s="7"/>
      <c r="L61" s="41">
        <f t="shared" si="5"/>
        <v>0</v>
      </c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39">
        <v>46445.0</v>
      </c>
      <c r="B62" s="39">
        <v>46451.0</v>
      </c>
      <c r="C62" s="40">
        <f>SUMIFS(MASTER_SALES!G:G, MASTER_SALES!A:A, "&gt;="&amp;A62, MASTER_SALES!A:A, "&lt;="&amp;B62)</f>
        <v>0</v>
      </c>
      <c r="D62" s="40">
        <f>SUMIFS(MASTER_SALES!N:N, MASTER_SALES!A:A, "&gt;="&amp;A62, MASTER_SALES!A:A, "&lt;="&amp;B62)</f>
        <v>0</v>
      </c>
      <c r="E62" s="40">
        <f t="shared" si="1"/>
        <v>0</v>
      </c>
      <c r="F62" s="41">
        <f t="shared" si="2"/>
        <v>0</v>
      </c>
      <c r="G62" s="40">
        <f>SUMIFS('💰 EXPENSES'!F:F, '💰 EXPENSES'!A:A, "&gt;="&amp;A62, '💰 EXPENSES'!A:A, "&lt;="&amp;B62)</f>
        <v>0</v>
      </c>
      <c r="H62" s="40">
        <f t="shared" si="3"/>
        <v>0</v>
      </c>
      <c r="I62" s="41">
        <f t="shared" si="4"/>
        <v>0</v>
      </c>
      <c r="J62" s="40">
        <f>SUMIFS(MASTER_SALES!E:E, MASTER_SALES!A:A, "&gt;="&amp;A62, MASTER_SALES!A:A, "&lt;="&amp;B62)</f>
        <v>0</v>
      </c>
      <c r="K62" s="7"/>
      <c r="L62" s="41">
        <f t="shared" si="5"/>
        <v>0</v>
      </c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39">
        <v>46452.0</v>
      </c>
      <c r="B63" s="39">
        <v>46458.0</v>
      </c>
      <c r="C63" s="40">
        <f>SUMIFS(MASTER_SALES!G:G, MASTER_SALES!A:A, "&gt;="&amp;A63, MASTER_SALES!A:A, "&lt;="&amp;B63)</f>
        <v>0</v>
      </c>
      <c r="D63" s="40">
        <f>SUMIFS(MASTER_SALES!N:N, MASTER_SALES!A:A, "&gt;="&amp;A63, MASTER_SALES!A:A, "&lt;="&amp;B63)</f>
        <v>0</v>
      </c>
      <c r="E63" s="40">
        <f t="shared" si="1"/>
        <v>0</v>
      </c>
      <c r="F63" s="41">
        <f t="shared" si="2"/>
        <v>0</v>
      </c>
      <c r="G63" s="40">
        <f>SUMIFS('💰 EXPENSES'!F:F, '💰 EXPENSES'!A:A, "&gt;="&amp;A63, '💰 EXPENSES'!A:A, "&lt;="&amp;B63)</f>
        <v>0</v>
      </c>
      <c r="H63" s="40">
        <f t="shared" si="3"/>
        <v>0</v>
      </c>
      <c r="I63" s="41">
        <f t="shared" si="4"/>
        <v>0</v>
      </c>
      <c r="J63" s="40">
        <f>SUMIFS(MASTER_SALES!E:E, MASTER_SALES!A:A, "&gt;="&amp;A63, MASTER_SALES!A:A, "&lt;="&amp;B63)</f>
        <v>0</v>
      </c>
      <c r="K63" s="7"/>
      <c r="L63" s="41">
        <f t="shared" si="5"/>
        <v>0</v>
      </c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39">
        <v>46459.0</v>
      </c>
      <c r="B64" s="39">
        <v>46465.0</v>
      </c>
      <c r="C64" s="40">
        <f>SUMIFS(MASTER_SALES!G:G, MASTER_SALES!A:A, "&gt;="&amp;A64, MASTER_SALES!A:A, "&lt;="&amp;B64)</f>
        <v>0</v>
      </c>
      <c r="D64" s="40">
        <f>SUMIFS(MASTER_SALES!N:N, MASTER_SALES!A:A, "&gt;="&amp;A64, MASTER_SALES!A:A, "&lt;="&amp;B64)</f>
        <v>0</v>
      </c>
      <c r="E64" s="40">
        <f t="shared" si="1"/>
        <v>0</v>
      </c>
      <c r="F64" s="41">
        <f t="shared" si="2"/>
        <v>0</v>
      </c>
      <c r="G64" s="40">
        <f>SUMIFS('💰 EXPENSES'!F:F, '💰 EXPENSES'!A:A, "&gt;="&amp;A64, '💰 EXPENSES'!A:A, "&lt;="&amp;B64)</f>
        <v>0</v>
      </c>
      <c r="H64" s="40">
        <f t="shared" si="3"/>
        <v>0</v>
      </c>
      <c r="I64" s="41">
        <f t="shared" si="4"/>
        <v>0</v>
      </c>
      <c r="J64" s="40">
        <f>SUMIFS(MASTER_SALES!E:E, MASTER_SALES!A:A, "&gt;="&amp;A64, MASTER_SALES!A:A, "&lt;="&amp;B64)</f>
        <v>0</v>
      </c>
      <c r="K64" s="7"/>
      <c r="L64" s="41">
        <f t="shared" si="5"/>
        <v>0</v>
      </c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39">
        <v>46466.0</v>
      </c>
      <c r="B65" s="39">
        <v>46472.0</v>
      </c>
      <c r="C65" s="40">
        <f>SUMIFS(MASTER_SALES!G:G, MASTER_SALES!A:A, "&gt;="&amp;A65, MASTER_SALES!A:A, "&lt;="&amp;B65)</f>
        <v>0</v>
      </c>
      <c r="D65" s="40">
        <f>SUMIFS(MASTER_SALES!N:N, MASTER_SALES!A:A, "&gt;="&amp;A65, MASTER_SALES!A:A, "&lt;="&amp;B65)</f>
        <v>0</v>
      </c>
      <c r="E65" s="40">
        <f t="shared" si="1"/>
        <v>0</v>
      </c>
      <c r="F65" s="41">
        <f t="shared" si="2"/>
        <v>0</v>
      </c>
      <c r="G65" s="40">
        <f>SUMIFS('💰 EXPENSES'!F:F, '💰 EXPENSES'!A:A, "&gt;="&amp;A65, '💰 EXPENSES'!A:A, "&lt;="&amp;B65)</f>
        <v>0</v>
      </c>
      <c r="H65" s="40">
        <f t="shared" si="3"/>
        <v>0</v>
      </c>
      <c r="I65" s="41">
        <f t="shared" si="4"/>
        <v>0</v>
      </c>
      <c r="J65" s="40">
        <f>SUMIFS(MASTER_SALES!E:E, MASTER_SALES!A:A, "&gt;="&amp;A65, MASTER_SALES!A:A, "&lt;="&amp;B65)</f>
        <v>0</v>
      </c>
      <c r="K65" s="7"/>
      <c r="L65" s="41">
        <f t="shared" si="5"/>
        <v>0</v>
      </c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39">
        <v>46473.0</v>
      </c>
      <c r="B66" s="39">
        <v>46479.0</v>
      </c>
      <c r="C66" s="40">
        <f>SUMIFS(MASTER_SALES!G:G, MASTER_SALES!A:A, "&gt;="&amp;A66, MASTER_SALES!A:A, "&lt;="&amp;B66)</f>
        <v>0</v>
      </c>
      <c r="D66" s="40">
        <f>SUMIFS(MASTER_SALES!N:N, MASTER_SALES!A:A, "&gt;="&amp;A66, MASTER_SALES!A:A, "&lt;="&amp;B66)</f>
        <v>0</v>
      </c>
      <c r="E66" s="40">
        <f t="shared" si="1"/>
        <v>0</v>
      </c>
      <c r="F66" s="41">
        <f t="shared" si="2"/>
        <v>0</v>
      </c>
      <c r="G66" s="40">
        <f>SUMIFS('💰 EXPENSES'!F:F, '💰 EXPENSES'!A:A, "&gt;="&amp;A66, '💰 EXPENSES'!A:A, "&lt;="&amp;B66)</f>
        <v>0</v>
      </c>
      <c r="H66" s="40">
        <f t="shared" si="3"/>
        <v>0</v>
      </c>
      <c r="I66" s="41">
        <f t="shared" si="4"/>
        <v>0</v>
      </c>
      <c r="J66" s="40">
        <f>SUMIFS(MASTER_SALES!E:E, MASTER_SALES!A:A, "&gt;="&amp;A66, MASTER_SALES!A:A, "&lt;="&amp;B66)</f>
        <v>0</v>
      </c>
      <c r="K66" s="7"/>
      <c r="L66" s="41">
        <f t="shared" si="5"/>
        <v>0</v>
      </c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39">
        <v>46480.0</v>
      </c>
      <c r="B67" s="39">
        <v>46486.0</v>
      </c>
      <c r="C67" s="40">
        <f>SUMIFS(MASTER_SALES!G:G, MASTER_SALES!A:A, "&gt;="&amp;A67, MASTER_SALES!A:A, "&lt;="&amp;B67)</f>
        <v>0</v>
      </c>
      <c r="D67" s="40">
        <f>SUMIFS(MASTER_SALES!N:N, MASTER_SALES!A:A, "&gt;="&amp;A67, MASTER_SALES!A:A, "&lt;="&amp;B67)</f>
        <v>0</v>
      </c>
      <c r="E67" s="40">
        <f t="shared" si="1"/>
        <v>0</v>
      </c>
      <c r="F67" s="41">
        <f t="shared" si="2"/>
        <v>0</v>
      </c>
      <c r="G67" s="40">
        <f>SUMIFS('💰 EXPENSES'!F:F, '💰 EXPENSES'!A:A, "&gt;="&amp;A67, '💰 EXPENSES'!A:A, "&lt;="&amp;B67)</f>
        <v>0</v>
      </c>
      <c r="H67" s="40">
        <f t="shared" si="3"/>
        <v>0</v>
      </c>
      <c r="I67" s="41">
        <f t="shared" si="4"/>
        <v>0</v>
      </c>
      <c r="J67" s="40">
        <f>SUMIFS(MASTER_SALES!E:E, MASTER_SALES!A:A, "&gt;="&amp;A67, MASTER_SALES!A:A, "&lt;="&amp;B67)</f>
        <v>0</v>
      </c>
      <c r="K67" s="7"/>
      <c r="L67" s="41">
        <f t="shared" si="5"/>
        <v>0</v>
      </c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39">
        <v>46487.0</v>
      </c>
      <c r="B68" s="39">
        <v>46493.0</v>
      </c>
      <c r="C68" s="40">
        <f>SUMIFS(MASTER_SALES!G:G, MASTER_SALES!A:A, "&gt;="&amp;A68, MASTER_SALES!A:A, "&lt;="&amp;B68)</f>
        <v>0</v>
      </c>
      <c r="D68" s="40">
        <f>SUMIFS(MASTER_SALES!N:N, MASTER_SALES!A:A, "&gt;="&amp;A68, MASTER_SALES!A:A, "&lt;="&amp;B68)</f>
        <v>0</v>
      </c>
      <c r="E68" s="40">
        <f t="shared" si="1"/>
        <v>0</v>
      </c>
      <c r="F68" s="41">
        <f t="shared" si="2"/>
        <v>0</v>
      </c>
      <c r="G68" s="40">
        <f>SUMIFS('💰 EXPENSES'!F:F, '💰 EXPENSES'!A:A, "&gt;="&amp;A68, '💰 EXPENSES'!A:A, "&lt;="&amp;B68)</f>
        <v>0</v>
      </c>
      <c r="H68" s="40">
        <f t="shared" si="3"/>
        <v>0</v>
      </c>
      <c r="I68" s="41">
        <f t="shared" si="4"/>
        <v>0</v>
      </c>
      <c r="J68" s="40">
        <f>SUMIFS(MASTER_SALES!E:E, MASTER_SALES!A:A, "&gt;="&amp;A68, MASTER_SALES!A:A, "&lt;="&amp;B68)</f>
        <v>0</v>
      </c>
      <c r="K68" s="7"/>
      <c r="L68" s="41">
        <f t="shared" si="5"/>
        <v>0</v>
      </c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39">
        <v>46494.0</v>
      </c>
      <c r="B69" s="39">
        <v>46500.0</v>
      </c>
      <c r="C69" s="40">
        <f>SUMIFS(MASTER_SALES!G:G, MASTER_SALES!A:A, "&gt;="&amp;A69, MASTER_SALES!A:A, "&lt;="&amp;B69)</f>
        <v>0</v>
      </c>
      <c r="D69" s="40">
        <f>SUMIFS(MASTER_SALES!N:N, MASTER_SALES!A:A, "&gt;="&amp;A69, MASTER_SALES!A:A, "&lt;="&amp;B69)</f>
        <v>0</v>
      </c>
      <c r="E69" s="40">
        <f t="shared" si="1"/>
        <v>0</v>
      </c>
      <c r="F69" s="41">
        <f t="shared" si="2"/>
        <v>0</v>
      </c>
      <c r="G69" s="40">
        <f>SUMIFS('💰 EXPENSES'!F:F, '💰 EXPENSES'!A:A, "&gt;="&amp;A69, '💰 EXPENSES'!A:A, "&lt;="&amp;B69)</f>
        <v>0</v>
      </c>
      <c r="H69" s="40">
        <f t="shared" si="3"/>
        <v>0</v>
      </c>
      <c r="I69" s="41">
        <f t="shared" si="4"/>
        <v>0</v>
      </c>
      <c r="J69" s="40">
        <f>SUMIFS(MASTER_SALES!E:E, MASTER_SALES!A:A, "&gt;="&amp;A69, MASTER_SALES!A:A, "&lt;="&amp;B69)</f>
        <v>0</v>
      </c>
      <c r="K69" s="7"/>
      <c r="L69" s="41">
        <f t="shared" si="5"/>
        <v>0</v>
      </c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39">
        <v>46501.0</v>
      </c>
      <c r="B70" s="39">
        <v>46507.0</v>
      </c>
      <c r="C70" s="40">
        <f>SUMIFS(MASTER_SALES!G:G, MASTER_SALES!A:A, "&gt;="&amp;A70, MASTER_SALES!A:A, "&lt;="&amp;B70)</f>
        <v>0</v>
      </c>
      <c r="D70" s="40">
        <f>SUMIFS(MASTER_SALES!N:N, MASTER_SALES!A:A, "&gt;="&amp;A70, MASTER_SALES!A:A, "&lt;="&amp;B70)</f>
        <v>0</v>
      </c>
      <c r="E70" s="40">
        <f t="shared" si="1"/>
        <v>0</v>
      </c>
      <c r="F70" s="41">
        <f t="shared" si="2"/>
        <v>0</v>
      </c>
      <c r="G70" s="40">
        <f>SUMIFS('💰 EXPENSES'!F:F, '💰 EXPENSES'!A:A, "&gt;="&amp;A70, '💰 EXPENSES'!A:A, "&lt;="&amp;B70)</f>
        <v>0</v>
      </c>
      <c r="H70" s="40">
        <f t="shared" si="3"/>
        <v>0</v>
      </c>
      <c r="I70" s="41">
        <f t="shared" si="4"/>
        <v>0</v>
      </c>
      <c r="J70" s="40">
        <f>SUMIFS(MASTER_SALES!E:E, MASTER_SALES!A:A, "&gt;="&amp;A70, MASTER_SALES!A:A, "&lt;="&amp;B70)</f>
        <v>0</v>
      </c>
      <c r="K70" s="7"/>
      <c r="L70" s="41">
        <f t="shared" si="5"/>
        <v>0</v>
      </c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39">
        <v>46508.0</v>
      </c>
      <c r="B71" s="39">
        <v>46514.0</v>
      </c>
      <c r="C71" s="40">
        <f>SUMIFS(MASTER_SALES!G:G, MASTER_SALES!A:A, "&gt;="&amp;A71, MASTER_SALES!A:A, "&lt;="&amp;B71)</f>
        <v>0</v>
      </c>
      <c r="D71" s="40">
        <f>SUMIFS(MASTER_SALES!N:N, MASTER_SALES!A:A, "&gt;="&amp;A71, MASTER_SALES!A:A, "&lt;="&amp;B71)</f>
        <v>0</v>
      </c>
      <c r="E71" s="40">
        <f t="shared" si="1"/>
        <v>0</v>
      </c>
      <c r="F71" s="41">
        <f t="shared" si="2"/>
        <v>0</v>
      </c>
      <c r="G71" s="40">
        <f>SUMIFS('💰 EXPENSES'!F:F, '💰 EXPENSES'!A:A, "&gt;="&amp;A71, '💰 EXPENSES'!A:A, "&lt;="&amp;B71)</f>
        <v>0</v>
      </c>
      <c r="H71" s="40">
        <f t="shared" si="3"/>
        <v>0</v>
      </c>
      <c r="I71" s="41">
        <f t="shared" si="4"/>
        <v>0</v>
      </c>
      <c r="J71" s="40">
        <f>SUMIFS(MASTER_SALES!E:E, MASTER_SALES!A:A, "&gt;="&amp;A71, MASTER_SALES!A:A, "&lt;="&amp;B71)</f>
        <v>0</v>
      </c>
      <c r="K71" s="7"/>
      <c r="L71" s="41">
        <f t="shared" si="5"/>
        <v>0</v>
      </c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39">
        <v>46515.0</v>
      </c>
      <c r="B72" s="39">
        <v>46521.0</v>
      </c>
      <c r="C72" s="40">
        <f>SUMIFS(MASTER_SALES!G:G, MASTER_SALES!A:A, "&gt;="&amp;A72, MASTER_SALES!A:A, "&lt;="&amp;B72)</f>
        <v>0</v>
      </c>
      <c r="D72" s="40">
        <f>SUMIFS(MASTER_SALES!N:N, MASTER_SALES!A:A, "&gt;="&amp;A72, MASTER_SALES!A:A, "&lt;="&amp;B72)</f>
        <v>0</v>
      </c>
      <c r="E72" s="40">
        <f t="shared" si="1"/>
        <v>0</v>
      </c>
      <c r="F72" s="41">
        <f t="shared" si="2"/>
        <v>0</v>
      </c>
      <c r="G72" s="40">
        <f>SUMIFS('💰 EXPENSES'!F:F, '💰 EXPENSES'!A:A, "&gt;="&amp;A72, '💰 EXPENSES'!A:A, "&lt;="&amp;B72)</f>
        <v>0</v>
      </c>
      <c r="H72" s="40">
        <f t="shared" si="3"/>
        <v>0</v>
      </c>
      <c r="I72" s="41">
        <f t="shared" si="4"/>
        <v>0</v>
      </c>
      <c r="J72" s="40">
        <f>SUMIFS(MASTER_SALES!E:E, MASTER_SALES!A:A, "&gt;="&amp;A72, MASTER_SALES!A:A, "&lt;="&amp;B72)</f>
        <v>0</v>
      </c>
      <c r="K72" s="7"/>
      <c r="L72" s="41">
        <f t="shared" si="5"/>
        <v>0</v>
      </c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39">
        <v>46522.0</v>
      </c>
      <c r="B73" s="39">
        <v>46528.0</v>
      </c>
      <c r="C73" s="40">
        <f>SUMIFS(MASTER_SALES!G:G, MASTER_SALES!A:A, "&gt;="&amp;A73, MASTER_SALES!A:A, "&lt;="&amp;B73)</f>
        <v>0</v>
      </c>
      <c r="D73" s="40">
        <f>SUMIFS(MASTER_SALES!N:N, MASTER_SALES!A:A, "&gt;="&amp;A73, MASTER_SALES!A:A, "&lt;="&amp;B73)</f>
        <v>0</v>
      </c>
      <c r="E73" s="40">
        <f t="shared" si="1"/>
        <v>0</v>
      </c>
      <c r="F73" s="41">
        <f t="shared" si="2"/>
        <v>0</v>
      </c>
      <c r="G73" s="40">
        <f>SUMIFS('💰 EXPENSES'!F:F, '💰 EXPENSES'!A:A, "&gt;="&amp;A73, '💰 EXPENSES'!A:A, "&lt;="&amp;B73)</f>
        <v>0</v>
      </c>
      <c r="H73" s="40">
        <f t="shared" si="3"/>
        <v>0</v>
      </c>
      <c r="I73" s="41">
        <f t="shared" si="4"/>
        <v>0</v>
      </c>
      <c r="J73" s="40">
        <f>SUMIFS(MASTER_SALES!E:E, MASTER_SALES!A:A, "&gt;="&amp;A73, MASTER_SALES!A:A, "&lt;="&amp;B73)</f>
        <v>0</v>
      </c>
      <c r="K73" s="7"/>
      <c r="L73" s="41">
        <f t="shared" si="5"/>
        <v>0</v>
      </c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39">
        <v>46529.0</v>
      </c>
      <c r="B74" s="39">
        <v>46535.0</v>
      </c>
      <c r="C74" s="40">
        <f>SUMIFS(MASTER_SALES!G:G, MASTER_SALES!A:A, "&gt;="&amp;A74, MASTER_SALES!A:A, "&lt;="&amp;B74)</f>
        <v>0</v>
      </c>
      <c r="D74" s="40">
        <f>SUMIFS(MASTER_SALES!N:N, MASTER_SALES!A:A, "&gt;="&amp;A74, MASTER_SALES!A:A, "&lt;="&amp;B74)</f>
        <v>0</v>
      </c>
      <c r="E74" s="40">
        <f t="shared" si="1"/>
        <v>0</v>
      </c>
      <c r="F74" s="41">
        <f t="shared" si="2"/>
        <v>0</v>
      </c>
      <c r="G74" s="40">
        <f>SUMIFS('💰 EXPENSES'!F:F, '💰 EXPENSES'!A:A, "&gt;="&amp;A74, '💰 EXPENSES'!A:A, "&lt;="&amp;B74)</f>
        <v>0</v>
      </c>
      <c r="H74" s="40">
        <f t="shared" si="3"/>
        <v>0</v>
      </c>
      <c r="I74" s="41">
        <f t="shared" si="4"/>
        <v>0</v>
      </c>
      <c r="J74" s="40">
        <f>SUMIFS(MASTER_SALES!E:E, MASTER_SALES!A:A, "&gt;="&amp;A74, MASTER_SALES!A:A, "&lt;="&amp;B74)</f>
        <v>0</v>
      </c>
      <c r="K74" s="7"/>
      <c r="L74" s="41">
        <f t="shared" si="5"/>
        <v>0</v>
      </c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39">
        <v>46536.0</v>
      </c>
      <c r="B75" s="39">
        <v>46542.0</v>
      </c>
      <c r="C75" s="40">
        <f>SUMIFS(MASTER_SALES!G:G, MASTER_SALES!A:A, "&gt;="&amp;A75, MASTER_SALES!A:A, "&lt;="&amp;B75)</f>
        <v>0</v>
      </c>
      <c r="D75" s="40">
        <f>SUMIFS(MASTER_SALES!N:N, MASTER_SALES!A:A, "&gt;="&amp;A75, MASTER_SALES!A:A, "&lt;="&amp;B75)</f>
        <v>0</v>
      </c>
      <c r="E75" s="40">
        <f t="shared" si="1"/>
        <v>0</v>
      </c>
      <c r="F75" s="41">
        <f t="shared" si="2"/>
        <v>0</v>
      </c>
      <c r="G75" s="40">
        <f>SUMIFS('💰 EXPENSES'!F:F, '💰 EXPENSES'!A:A, "&gt;="&amp;A75, '💰 EXPENSES'!A:A, "&lt;="&amp;B75)</f>
        <v>0</v>
      </c>
      <c r="H75" s="40">
        <f t="shared" si="3"/>
        <v>0</v>
      </c>
      <c r="I75" s="41">
        <f t="shared" si="4"/>
        <v>0</v>
      </c>
      <c r="J75" s="40">
        <f>SUMIFS(MASTER_SALES!E:E, MASTER_SALES!A:A, "&gt;="&amp;A75, MASTER_SALES!A:A, "&lt;="&amp;B75)</f>
        <v>0</v>
      </c>
      <c r="K75" s="7"/>
      <c r="L75" s="41">
        <f t="shared" si="5"/>
        <v>0</v>
      </c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39">
        <v>46543.0</v>
      </c>
      <c r="B76" s="39">
        <v>46549.0</v>
      </c>
      <c r="C76" s="40">
        <f>SUMIFS(MASTER_SALES!G:G, MASTER_SALES!A:A, "&gt;="&amp;A76, MASTER_SALES!A:A, "&lt;="&amp;B76)</f>
        <v>0</v>
      </c>
      <c r="D76" s="40">
        <f>SUMIFS(MASTER_SALES!N:N, MASTER_SALES!A:A, "&gt;="&amp;A76, MASTER_SALES!A:A, "&lt;="&amp;B76)</f>
        <v>0</v>
      </c>
      <c r="E76" s="40">
        <f t="shared" si="1"/>
        <v>0</v>
      </c>
      <c r="F76" s="41">
        <f t="shared" si="2"/>
        <v>0</v>
      </c>
      <c r="G76" s="40">
        <f>SUMIFS('💰 EXPENSES'!F:F, '💰 EXPENSES'!A:A, "&gt;="&amp;A76, '💰 EXPENSES'!A:A, "&lt;="&amp;B76)</f>
        <v>0</v>
      </c>
      <c r="H76" s="40">
        <f t="shared" si="3"/>
        <v>0</v>
      </c>
      <c r="I76" s="41">
        <f t="shared" si="4"/>
        <v>0</v>
      </c>
      <c r="J76" s="40">
        <f>SUMIFS(MASTER_SALES!E:E, MASTER_SALES!A:A, "&gt;="&amp;A76, MASTER_SALES!A:A, "&lt;="&amp;B76)</f>
        <v>0</v>
      </c>
      <c r="K76" s="7"/>
      <c r="L76" s="41">
        <f t="shared" si="5"/>
        <v>0</v>
      </c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39">
        <v>46550.0</v>
      </c>
      <c r="B77" s="39">
        <v>46556.0</v>
      </c>
      <c r="C77" s="40">
        <f>SUMIFS(MASTER_SALES!G:G, MASTER_SALES!A:A, "&gt;="&amp;A77, MASTER_SALES!A:A, "&lt;="&amp;B77)</f>
        <v>0</v>
      </c>
      <c r="D77" s="40">
        <f>SUMIFS(MASTER_SALES!N:N, MASTER_SALES!A:A, "&gt;="&amp;A77, MASTER_SALES!A:A, "&lt;="&amp;B77)</f>
        <v>0</v>
      </c>
      <c r="E77" s="40">
        <f t="shared" si="1"/>
        <v>0</v>
      </c>
      <c r="F77" s="41">
        <f t="shared" si="2"/>
        <v>0</v>
      </c>
      <c r="G77" s="40">
        <f>SUMIFS('💰 EXPENSES'!F:F, '💰 EXPENSES'!A:A, "&gt;="&amp;A77, '💰 EXPENSES'!A:A, "&lt;="&amp;B77)</f>
        <v>0</v>
      </c>
      <c r="H77" s="40">
        <f t="shared" si="3"/>
        <v>0</v>
      </c>
      <c r="I77" s="41">
        <f t="shared" si="4"/>
        <v>0</v>
      </c>
      <c r="J77" s="40">
        <f>SUMIFS(MASTER_SALES!E:E, MASTER_SALES!A:A, "&gt;="&amp;A77, MASTER_SALES!A:A, "&lt;="&amp;B77)</f>
        <v>0</v>
      </c>
      <c r="K77" s="7"/>
      <c r="L77" s="41">
        <f t="shared" si="5"/>
        <v>0</v>
      </c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39">
        <v>46557.0</v>
      </c>
      <c r="B78" s="39">
        <v>46563.0</v>
      </c>
      <c r="C78" s="40">
        <f>SUMIFS(MASTER_SALES!G:G, MASTER_SALES!A:A, "&gt;="&amp;A78, MASTER_SALES!A:A, "&lt;="&amp;B78)</f>
        <v>0</v>
      </c>
      <c r="D78" s="40">
        <f>SUMIFS(MASTER_SALES!N:N, MASTER_SALES!A:A, "&gt;="&amp;A78, MASTER_SALES!A:A, "&lt;="&amp;B78)</f>
        <v>0</v>
      </c>
      <c r="E78" s="40">
        <f t="shared" si="1"/>
        <v>0</v>
      </c>
      <c r="F78" s="41">
        <f t="shared" si="2"/>
        <v>0</v>
      </c>
      <c r="G78" s="40">
        <f>SUMIFS('💰 EXPENSES'!F:F, '💰 EXPENSES'!A:A, "&gt;="&amp;A78, '💰 EXPENSES'!A:A, "&lt;="&amp;B78)</f>
        <v>0</v>
      </c>
      <c r="H78" s="40">
        <f t="shared" si="3"/>
        <v>0</v>
      </c>
      <c r="I78" s="41">
        <f t="shared" si="4"/>
        <v>0</v>
      </c>
      <c r="J78" s="40">
        <f>SUMIFS(MASTER_SALES!E:E, MASTER_SALES!A:A, "&gt;="&amp;A78, MASTER_SALES!A:A, "&lt;="&amp;B78)</f>
        <v>0</v>
      </c>
      <c r="K78" s="7"/>
      <c r="L78" s="41">
        <f t="shared" si="5"/>
        <v>0</v>
      </c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39">
        <v>46564.0</v>
      </c>
      <c r="B79" s="39">
        <v>46570.0</v>
      </c>
      <c r="C79" s="40">
        <f>SUMIFS(MASTER_SALES!G:G, MASTER_SALES!A:A, "&gt;="&amp;A79, MASTER_SALES!A:A, "&lt;="&amp;B79)</f>
        <v>0</v>
      </c>
      <c r="D79" s="40">
        <f>SUMIFS(MASTER_SALES!N:N, MASTER_SALES!A:A, "&gt;="&amp;A79, MASTER_SALES!A:A, "&lt;="&amp;B79)</f>
        <v>0</v>
      </c>
      <c r="E79" s="40">
        <f t="shared" si="1"/>
        <v>0</v>
      </c>
      <c r="F79" s="41">
        <f t="shared" si="2"/>
        <v>0</v>
      </c>
      <c r="G79" s="40">
        <f>SUMIFS('💰 EXPENSES'!F:F, '💰 EXPENSES'!A:A, "&gt;="&amp;A79, '💰 EXPENSES'!A:A, "&lt;="&amp;B79)</f>
        <v>0</v>
      </c>
      <c r="H79" s="40">
        <f t="shared" si="3"/>
        <v>0</v>
      </c>
      <c r="I79" s="41">
        <f t="shared" si="4"/>
        <v>0</v>
      </c>
      <c r="J79" s="40">
        <f>SUMIFS(MASTER_SALES!E:E, MASTER_SALES!A:A, "&gt;="&amp;A79, MASTER_SALES!A:A, "&lt;="&amp;B79)</f>
        <v>0</v>
      </c>
      <c r="K79" s="7"/>
      <c r="L79" s="41">
        <f t="shared" si="5"/>
        <v>0</v>
      </c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39">
        <v>46571.0</v>
      </c>
      <c r="B80" s="39">
        <v>46577.0</v>
      </c>
      <c r="C80" s="40">
        <f>SUMIFS(MASTER_SALES!G:G, MASTER_SALES!A:A, "&gt;="&amp;A80, MASTER_SALES!A:A, "&lt;="&amp;B80)</f>
        <v>0</v>
      </c>
      <c r="D80" s="40">
        <f>SUMIFS(MASTER_SALES!N:N, MASTER_SALES!A:A, "&gt;="&amp;A80, MASTER_SALES!A:A, "&lt;="&amp;B80)</f>
        <v>0</v>
      </c>
      <c r="E80" s="40">
        <f t="shared" si="1"/>
        <v>0</v>
      </c>
      <c r="F80" s="41">
        <f t="shared" si="2"/>
        <v>0</v>
      </c>
      <c r="G80" s="40">
        <f>SUMIFS('💰 EXPENSES'!F:F, '💰 EXPENSES'!A:A, "&gt;="&amp;A80, '💰 EXPENSES'!A:A, "&lt;="&amp;B80)</f>
        <v>0</v>
      </c>
      <c r="H80" s="40">
        <f t="shared" si="3"/>
        <v>0</v>
      </c>
      <c r="I80" s="41">
        <f t="shared" si="4"/>
        <v>0</v>
      </c>
      <c r="J80" s="40">
        <f>SUMIFS(MASTER_SALES!E:E, MASTER_SALES!A:A, "&gt;="&amp;A80, MASTER_SALES!A:A, "&lt;="&amp;B80)</f>
        <v>0</v>
      </c>
      <c r="K80" s="7"/>
      <c r="L80" s="41">
        <f t="shared" si="5"/>
        <v>0</v>
      </c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39">
        <v>46578.0</v>
      </c>
      <c r="B81" s="39">
        <v>46584.0</v>
      </c>
      <c r="C81" s="40">
        <f>SUMIFS(MASTER_SALES!G:G, MASTER_SALES!A:A, "&gt;="&amp;A81, MASTER_SALES!A:A, "&lt;="&amp;B81)</f>
        <v>0</v>
      </c>
      <c r="D81" s="40">
        <f>SUMIFS(MASTER_SALES!N:N, MASTER_SALES!A:A, "&gt;="&amp;A81, MASTER_SALES!A:A, "&lt;="&amp;B81)</f>
        <v>0</v>
      </c>
      <c r="E81" s="40">
        <f t="shared" si="1"/>
        <v>0</v>
      </c>
      <c r="F81" s="41">
        <f t="shared" si="2"/>
        <v>0</v>
      </c>
      <c r="G81" s="40">
        <f>SUMIFS('💰 EXPENSES'!F:F, '💰 EXPENSES'!A:A, "&gt;="&amp;A81, '💰 EXPENSES'!A:A, "&lt;="&amp;B81)</f>
        <v>0</v>
      </c>
      <c r="H81" s="40">
        <f t="shared" si="3"/>
        <v>0</v>
      </c>
      <c r="I81" s="41">
        <f t="shared" si="4"/>
        <v>0</v>
      </c>
      <c r="J81" s="40">
        <f>SUMIFS(MASTER_SALES!E:E, MASTER_SALES!A:A, "&gt;="&amp;A81, MASTER_SALES!A:A, "&lt;="&amp;B81)</f>
        <v>0</v>
      </c>
      <c r="K81" s="7"/>
      <c r="L81" s="41">
        <f t="shared" si="5"/>
        <v>0</v>
      </c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39">
        <v>46585.0</v>
      </c>
      <c r="B82" s="39">
        <v>46591.0</v>
      </c>
      <c r="C82" s="40">
        <f>SUMIFS(MASTER_SALES!G:G, MASTER_SALES!A:A, "&gt;="&amp;A82, MASTER_SALES!A:A, "&lt;="&amp;B82)</f>
        <v>0</v>
      </c>
      <c r="D82" s="40">
        <f>SUMIFS(MASTER_SALES!N:N, MASTER_SALES!A:A, "&gt;="&amp;A82, MASTER_SALES!A:A, "&lt;="&amp;B82)</f>
        <v>0</v>
      </c>
      <c r="E82" s="40">
        <f t="shared" si="1"/>
        <v>0</v>
      </c>
      <c r="F82" s="41">
        <f t="shared" si="2"/>
        <v>0</v>
      </c>
      <c r="G82" s="40">
        <f>SUMIFS('💰 EXPENSES'!F:F, '💰 EXPENSES'!A:A, "&gt;="&amp;A82, '💰 EXPENSES'!A:A, "&lt;="&amp;B82)</f>
        <v>0</v>
      </c>
      <c r="H82" s="40">
        <f t="shared" si="3"/>
        <v>0</v>
      </c>
      <c r="I82" s="41">
        <f t="shared" si="4"/>
        <v>0</v>
      </c>
      <c r="J82" s="40">
        <f>SUMIFS(MASTER_SALES!E:E, MASTER_SALES!A:A, "&gt;="&amp;A82, MASTER_SALES!A:A, "&lt;="&amp;B82)</f>
        <v>0</v>
      </c>
      <c r="K82" s="7"/>
      <c r="L82" s="41">
        <f t="shared" si="5"/>
        <v>0</v>
      </c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39">
        <v>46592.0</v>
      </c>
      <c r="B83" s="39">
        <v>46598.0</v>
      </c>
      <c r="C83" s="40">
        <f>SUMIFS(MASTER_SALES!G:G, MASTER_SALES!A:A, "&gt;="&amp;A83, MASTER_SALES!A:A, "&lt;="&amp;B83)</f>
        <v>0</v>
      </c>
      <c r="D83" s="40">
        <f>SUMIFS(MASTER_SALES!N:N, MASTER_SALES!A:A, "&gt;="&amp;A83, MASTER_SALES!A:A, "&lt;="&amp;B83)</f>
        <v>0</v>
      </c>
      <c r="E83" s="40">
        <f t="shared" si="1"/>
        <v>0</v>
      </c>
      <c r="F83" s="41">
        <f t="shared" si="2"/>
        <v>0</v>
      </c>
      <c r="G83" s="40">
        <f>SUMIFS('💰 EXPENSES'!F:F, '💰 EXPENSES'!A:A, "&gt;="&amp;A83, '💰 EXPENSES'!A:A, "&lt;="&amp;B83)</f>
        <v>0</v>
      </c>
      <c r="H83" s="40">
        <f t="shared" si="3"/>
        <v>0</v>
      </c>
      <c r="I83" s="41">
        <f t="shared" si="4"/>
        <v>0</v>
      </c>
      <c r="J83" s="40">
        <f>SUMIFS(MASTER_SALES!E:E, MASTER_SALES!A:A, "&gt;="&amp;A83, MASTER_SALES!A:A, "&lt;="&amp;B83)</f>
        <v>0</v>
      </c>
      <c r="K83" s="7"/>
      <c r="L83" s="41">
        <f t="shared" si="5"/>
        <v>0</v>
      </c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39">
        <v>46599.0</v>
      </c>
      <c r="B84" s="39">
        <v>46605.0</v>
      </c>
      <c r="C84" s="40">
        <f>SUMIFS(MASTER_SALES!G:G, MASTER_SALES!A:A, "&gt;="&amp;A84, MASTER_SALES!A:A, "&lt;="&amp;B84)</f>
        <v>0</v>
      </c>
      <c r="D84" s="40">
        <f>SUMIFS(MASTER_SALES!N:N, MASTER_SALES!A:A, "&gt;="&amp;A84, MASTER_SALES!A:A, "&lt;="&amp;B84)</f>
        <v>0</v>
      </c>
      <c r="E84" s="40">
        <f t="shared" si="1"/>
        <v>0</v>
      </c>
      <c r="F84" s="41">
        <f t="shared" si="2"/>
        <v>0</v>
      </c>
      <c r="G84" s="40">
        <f>SUMIFS('💰 EXPENSES'!F:F, '💰 EXPENSES'!A:A, "&gt;="&amp;A84, '💰 EXPENSES'!A:A, "&lt;="&amp;B84)</f>
        <v>0</v>
      </c>
      <c r="H84" s="40">
        <f t="shared" si="3"/>
        <v>0</v>
      </c>
      <c r="I84" s="41">
        <f t="shared" si="4"/>
        <v>0</v>
      </c>
      <c r="J84" s="40">
        <f>SUMIFS(MASTER_SALES!E:E, MASTER_SALES!A:A, "&gt;="&amp;A84, MASTER_SALES!A:A, "&lt;="&amp;B84)</f>
        <v>0</v>
      </c>
      <c r="K84" s="7"/>
      <c r="L84" s="41">
        <f t="shared" si="5"/>
        <v>0</v>
      </c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39">
        <v>46606.0</v>
      </c>
      <c r="B85" s="39">
        <v>46612.0</v>
      </c>
      <c r="C85" s="40">
        <f>SUMIFS(MASTER_SALES!G:G, MASTER_SALES!A:A, "&gt;="&amp;A85, MASTER_SALES!A:A, "&lt;="&amp;B85)</f>
        <v>0</v>
      </c>
      <c r="D85" s="40">
        <f>SUMIFS(MASTER_SALES!N:N, MASTER_SALES!A:A, "&gt;="&amp;A85, MASTER_SALES!A:A, "&lt;="&amp;B85)</f>
        <v>0</v>
      </c>
      <c r="E85" s="40">
        <f t="shared" si="1"/>
        <v>0</v>
      </c>
      <c r="F85" s="41">
        <f t="shared" si="2"/>
        <v>0</v>
      </c>
      <c r="G85" s="40">
        <f>SUMIFS('💰 EXPENSES'!F:F, '💰 EXPENSES'!A:A, "&gt;="&amp;A85, '💰 EXPENSES'!A:A, "&lt;="&amp;B85)</f>
        <v>0</v>
      </c>
      <c r="H85" s="40">
        <f t="shared" si="3"/>
        <v>0</v>
      </c>
      <c r="I85" s="41">
        <f t="shared" si="4"/>
        <v>0</v>
      </c>
      <c r="J85" s="40">
        <f>SUMIFS(MASTER_SALES!E:E, MASTER_SALES!A:A, "&gt;="&amp;A85, MASTER_SALES!A:A, "&lt;="&amp;B85)</f>
        <v>0</v>
      </c>
      <c r="K85" s="7"/>
      <c r="L85" s="41">
        <f t="shared" si="5"/>
        <v>0</v>
      </c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39">
        <v>46613.0</v>
      </c>
      <c r="B86" s="39">
        <v>46619.0</v>
      </c>
      <c r="C86" s="40">
        <f>SUMIFS(MASTER_SALES!G:G, MASTER_SALES!A:A, "&gt;="&amp;A86, MASTER_SALES!A:A, "&lt;="&amp;B86)</f>
        <v>0</v>
      </c>
      <c r="D86" s="40">
        <f>SUMIFS(MASTER_SALES!N:N, MASTER_SALES!A:A, "&gt;="&amp;A86, MASTER_SALES!A:A, "&lt;="&amp;B86)</f>
        <v>0</v>
      </c>
      <c r="E86" s="40">
        <f t="shared" si="1"/>
        <v>0</v>
      </c>
      <c r="F86" s="41">
        <f t="shared" si="2"/>
        <v>0</v>
      </c>
      <c r="G86" s="40">
        <f>SUMIFS('💰 EXPENSES'!F:F, '💰 EXPENSES'!A:A, "&gt;="&amp;A86, '💰 EXPENSES'!A:A, "&lt;="&amp;B86)</f>
        <v>0</v>
      </c>
      <c r="H86" s="40">
        <f t="shared" si="3"/>
        <v>0</v>
      </c>
      <c r="I86" s="41">
        <f t="shared" si="4"/>
        <v>0</v>
      </c>
      <c r="J86" s="40">
        <f>SUMIFS(MASTER_SALES!E:E, MASTER_SALES!A:A, "&gt;="&amp;A86, MASTER_SALES!A:A, "&lt;="&amp;B86)</f>
        <v>0</v>
      </c>
      <c r="K86" s="7"/>
      <c r="L86" s="41">
        <f t="shared" si="5"/>
        <v>0</v>
      </c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39">
        <v>46620.0</v>
      </c>
      <c r="B87" s="39">
        <v>46626.0</v>
      </c>
      <c r="C87" s="40">
        <f>SUMIFS(MASTER_SALES!G:G, MASTER_SALES!A:A, "&gt;="&amp;A87, MASTER_SALES!A:A, "&lt;="&amp;B87)</f>
        <v>0</v>
      </c>
      <c r="D87" s="40">
        <f>SUMIFS(MASTER_SALES!N:N, MASTER_SALES!A:A, "&gt;="&amp;A87, MASTER_SALES!A:A, "&lt;="&amp;B87)</f>
        <v>0</v>
      </c>
      <c r="E87" s="40">
        <f t="shared" si="1"/>
        <v>0</v>
      </c>
      <c r="F87" s="41">
        <f t="shared" si="2"/>
        <v>0</v>
      </c>
      <c r="G87" s="40">
        <f>SUMIFS('💰 EXPENSES'!F:F, '💰 EXPENSES'!A:A, "&gt;="&amp;A87, '💰 EXPENSES'!A:A, "&lt;="&amp;B87)</f>
        <v>0</v>
      </c>
      <c r="H87" s="40">
        <f t="shared" si="3"/>
        <v>0</v>
      </c>
      <c r="I87" s="41">
        <f t="shared" si="4"/>
        <v>0</v>
      </c>
      <c r="J87" s="40">
        <f>SUMIFS(MASTER_SALES!E:E, MASTER_SALES!A:A, "&gt;="&amp;A87, MASTER_SALES!A:A, "&lt;="&amp;B87)</f>
        <v>0</v>
      </c>
      <c r="K87" s="7"/>
      <c r="L87" s="41">
        <f t="shared" si="5"/>
        <v>0</v>
      </c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39">
        <v>46627.0</v>
      </c>
      <c r="B88" s="39">
        <v>46633.0</v>
      </c>
      <c r="C88" s="40">
        <f>SUMIFS(MASTER_SALES!G:G, MASTER_SALES!A:A, "&gt;="&amp;A88, MASTER_SALES!A:A, "&lt;="&amp;B88)</f>
        <v>0</v>
      </c>
      <c r="D88" s="40">
        <f>SUMIFS(MASTER_SALES!N:N, MASTER_SALES!A:A, "&gt;="&amp;A88, MASTER_SALES!A:A, "&lt;="&amp;B88)</f>
        <v>0</v>
      </c>
      <c r="E88" s="40">
        <f t="shared" si="1"/>
        <v>0</v>
      </c>
      <c r="F88" s="41">
        <f t="shared" si="2"/>
        <v>0</v>
      </c>
      <c r="G88" s="40">
        <f>SUMIFS('💰 EXPENSES'!F:F, '💰 EXPENSES'!A:A, "&gt;="&amp;A88, '💰 EXPENSES'!A:A, "&lt;="&amp;B88)</f>
        <v>0</v>
      </c>
      <c r="H88" s="40">
        <f t="shared" si="3"/>
        <v>0</v>
      </c>
      <c r="I88" s="41">
        <f t="shared" si="4"/>
        <v>0</v>
      </c>
      <c r="J88" s="40">
        <f>SUMIFS(MASTER_SALES!E:E, MASTER_SALES!A:A, "&gt;="&amp;A88, MASTER_SALES!A:A, "&lt;="&amp;B88)</f>
        <v>0</v>
      </c>
      <c r="K88" s="7"/>
      <c r="L88" s="41">
        <f t="shared" si="5"/>
        <v>0</v>
      </c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39">
        <v>46634.0</v>
      </c>
      <c r="B89" s="39">
        <v>46640.0</v>
      </c>
      <c r="C89" s="40">
        <f>SUMIFS(MASTER_SALES!G:G, MASTER_SALES!A:A, "&gt;="&amp;A89, MASTER_SALES!A:A, "&lt;="&amp;B89)</f>
        <v>0</v>
      </c>
      <c r="D89" s="40">
        <f>SUMIFS(MASTER_SALES!N:N, MASTER_SALES!A:A, "&gt;="&amp;A89, MASTER_SALES!A:A, "&lt;="&amp;B89)</f>
        <v>0</v>
      </c>
      <c r="E89" s="40">
        <f t="shared" si="1"/>
        <v>0</v>
      </c>
      <c r="F89" s="41">
        <f t="shared" si="2"/>
        <v>0</v>
      </c>
      <c r="G89" s="40">
        <f>SUMIFS('💰 EXPENSES'!F:F, '💰 EXPENSES'!A:A, "&gt;="&amp;A89, '💰 EXPENSES'!A:A, "&lt;="&amp;B89)</f>
        <v>0</v>
      </c>
      <c r="H89" s="40">
        <f t="shared" si="3"/>
        <v>0</v>
      </c>
      <c r="I89" s="41">
        <f t="shared" si="4"/>
        <v>0</v>
      </c>
      <c r="J89" s="40">
        <f>SUMIFS(MASTER_SALES!E:E, MASTER_SALES!A:A, "&gt;="&amp;A89, MASTER_SALES!A:A, "&lt;="&amp;B89)</f>
        <v>0</v>
      </c>
      <c r="K89" s="7"/>
      <c r="L89" s="41">
        <f t="shared" si="5"/>
        <v>0</v>
      </c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39">
        <v>46641.0</v>
      </c>
      <c r="B90" s="39">
        <v>46647.0</v>
      </c>
      <c r="C90" s="40">
        <f>SUMIFS(MASTER_SALES!G:G, MASTER_SALES!A:A, "&gt;="&amp;A90, MASTER_SALES!A:A, "&lt;="&amp;B90)</f>
        <v>0</v>
      </c>
      <c r="D90" s="40">
        <f>SUMIFS(MASTER_SALES!N:N, MASTER_SALES!A:A, "&gt;="&amp;A90, MASTER_SALES!A:A, "&lt;="&amp;B90)</f>
        <v>0</v>
      </c>
      <c r="E90" s="40">
        <f t="shared" si="1"/>
        <v>0</v>
      </c>
      <c r="F90" s="41">
        <f t="shared" si="2"/>
        <v>0</v>
      </c>
      <c r="G90" s="40">
        <f>SUMIFS('💰 EXPENSES'!F:F, '💰 EXPENSES'!A:A, "&gt;="&amp;A90, '💰 EXPENSES'!A:A, "&lt;="&amp;B90)</f>
        <v>0</v>
      </c>
      <c r="H90" s="40">
        <f t="shared" si="3"/>
        <v>0</v>
      </c>
      <c r="I90" s="41">
        <f t="shared" si="4"/>
        <v>0</v>
      </c>
      <c r="J90" s="40">
        <f>SUMIFS(MASTER_SALES!E:E, MASTER_SALES!A:A, "&gt;="&amp;A90, MASTER_SALES!A:A, "&lt;="&amp;B90)</f>
        <v>0</v>
      </c>
      <c r="K90" s="7"/>
      <c r="L90" s="41">
        <f t="shared" si="5"/>
        <v>0</v>
      </c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39">
        <v>46648.0</v>
      </c>
      <c r="B91" s="39">
        <v>46654.0</v>
      </c>
      <c r="C91" s="40">
        <f>SUMIFS(MASTER_SALES!G:G, MASTER_SALES!A:A, "&gt;="&amp;A91, MASTER_SALES!A:A, "&lt;="&amp;B91)</f>
        <v>0</v>
      </c>
      <c r="D91" s="40">
        <f>SUMIFS(MASTER_SALES!N:N, MASTER_SALES!A:A, "&gt;="&amp;A91, MASTER_SALES!A:A, "&lt;="&amp;B91)</f>
        <v>0</v>
      </c>
      <c r="E91" s="40">
        <f t="shared" si="1"/>
        <v>0</v>
      </c>
      <c r="F91" s="41">
        <f t="shared" si="2"/>
        <v>0</v>
      </c>
      <c r="G91" s="40">
        <f>SUMIFS('💰 EXPENSES'!F:F, '💰 EXPENSES'!A:A, "&gt;="&amp;A91, '💰 EXPENSES'!A:A, "&lt;="&amp;B91)</f>
        <v>0</v>
      </c>
      <c r="H91" s="40">
        <f t="shared" si="3"/>
        <v>0</v>
      </c>
      <c r="I91" s="41">
        <f t="shared" si="4"/>
        <v>0</v>
      </c>
      <c r="J91" s="40">
        <f>SUMIFS(MASTER_SALES!E:E, MASTER_SALES!A:A, "&gt;="&amp;A91, MASTER_SALES!A:A, "&lt;="&amp;B91)</f>
        <v>0</v>
      </c>
      <c r="K91" s="7"/>
      <c r="L91" s="41">
        <f t="shared" si="5"/>
        <v>0</v>
      </c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39">
        <v>46655.0</v>
      </c>
      <c r="B92" s="39">
        <v>46661.0</v>
      </c>
      <c r="C92" s="40">
        <f>SUMIFS(MASTER_SALES!G:G, MASTER_SALES!A:A, "&gt;="&amp;A92, MASTER_SALES!A:A, "&lt;="&amp;B92)</f>
        <v>0</v>
      </c>
      <c r="D92" s="40">
        <f>SUMIFS(MASTER_SALES!N:N, MASTER_SALES!A:A, "&gt;="&amp;A92, MASTER_SALES!A:A, "&lt;="&amp;B92)</f>
        <v>0</v>
      </c>
      <c r="E92" s="40">
        <f t="shared" si="1"/>
        <v>0</v>
      </c>
      <c r="F92" s="41">
        <f t="shared" si="2"/>
        <v>0</v>
      </c>
      <c r="G92" s="40">
        <f>SUMIFS('💰 EXPENSES'!F:F, '💰 EXPENSES'!A:A, "&gt;="&amp;A92, '💰 EXPENSES'!A:A, "&lt;="&amp;B92)</f>
        <v>0</v>
      </c>
      <c r="H92" s="40">
        <f t="shared" si="3"/>
        <v>0</v>
      </c>
      <c r="I92" s="41">
        <f t="shared" si="4"/>
        <v>0</v>
      </c>
      <c r="J92" s="40">
        <f>SUMIFS(MASTER_SALES!E:E, MASTER_SALES!A:A, "&gt;="&amp;A92, MASTER_SALES!A:A, "&lt;="&amp;B92)</f>
        <v>0</v>
      </c>
      <c r="K92" s="7"/>
      <c r="L92" s="41">
        <f t="shared" si="5"/>
        <v>0</v>
      </c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39">
        <v>46662.0</v>
      </c>
      <c r="B93" s="39">
        <v>46668.0</v>
      </c>
      <c r="C93" s="40">
        <f>SUMIFS(MASTER_SALES!G:G, MASTER_SALES!A:A, "&gt;="&amp;A93, MASTER_SALES!A:A, "&lt;="&amp;B93)</f>
        <v>0</v>
      </c>
      <c r="D93" s="40">
        <f>SUMIFS(MASTER_SALES!N:N, MASTER_SALES!A:A, "&gt;="&amp;A93, MASTER_SALES!A:A, "&lt;="&amp;B93)</f>
        <v>0</v>
      </c>
      <c r="E93" s="40">
        <f t="shared" si="1"/>
        <v>0</v>
      </c>
      <c r="F93" s="41">
        <f t="shared" si="2"/>
        <v>0</v>
      </c>
      <c r="G93" s="40">
        <f>SUMIFS('💰 EXPENSES'!F:F, '💰 EXPENSES'!A:A, "&gt;="&amp;A93, '💰 EXPENSES'!A:A, "&lt;="&amp;B93)</f>
        <v>0</v>
      </c>
      <c r="H93" s="40">
        <f t="shared" si="3"/>
        <v>0</v>
      </c>
      <c r="I93" s="41">
        <f t="shared" si="4"/>
        <v>0</v>
      </c>
      <c r="J93" s="40">
        <f>SUMIFS(MASTER_SALES!E:E, MASTER_SALES!A:A, "&gt;="&amp;A93, MASTER_SALES!A:A, "&lt;="&amp;B93)</f>
        <v>0</v>
      </c>
      <c r="K93" s="7"/>
      <c r="L93" s="41">
        <f t="shared" si="5"/>
        <v>0</v>
      </c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39">
        <v>46669.0</v>
      </c>
      <c r="B94" s="39">
        <v>46675.0</v>
      </c>
      <c r="C94" s="40">
        <f>SUMIFS(MASTER_SALES!G:G, MASTER_SALES!A:A, "&gt;="&amp;A94, MASTER_SALES!A:A, "&lt;="&amp;B94)</f>
        <v>0</v>
      </c>
      <c r="D94" s="40">
        <f>SUMIFS(MASTER_SALES!N:N, MASTER_SALES!A:A, "&gt;="&amp;A94, MASTER_SALES!A:A, "&lt;="&amp;B94)</f>
        <v>0</v>
      </c>
      <c r="E94" s="40">
        <f t="shared" si="1"/>
        <v>0</v>
      </c>
      <c r="F94" s="41">
        <f t="shared" si="2"/>
        <v>0</v>
      </c>
      <c r="G94" s="40">
        <f>SUMIFS('💰 EXPENSES'!F:F, '💰 EXPENSES'!A:A, "&gt;="&amp;A94, '💰 EXPENSES'!A:A, "&lt;="&amp;B94)</f>
        <v>0</v>
      </c>
      <c r="H94" s="40">
        <f t="shared" si="3"/>
        <v>0</v>
      </c>
      <c r="I94" s="41">
        <f t="shared" si="4"/>
        <v>0</v>
      </c>
      <c r="J94" s="40">
        <f>SUMIFS(MASTER_SALES!E:E, MASTER_SALES!A:A, "&gt;="&amp;A94, MASTER_SALES!A:A, "&lt;="&amp;B94)</f>
        <v>0</v>
      </c>
      <c r="K94" s="7"/>
      <c r="L94" s="41">
        <f t="shared" si="5"/>
        <v>0</v>
      </c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39">
        <v>46676.0</v>
      </c>
      <c r="B95" s="39">
        <v>46682.0</v>
      </c>
      <c r="C95" s="40">
        <f>SUMIFS(MASTER_SALES!G:G, MASTER_SALES!A:A, "&gt;="&amp;A95, MASTER_SALES!A:A, "&lt;="&amp;B95)</f>
        <v>0</v>
      </c>
      <c r="D95" s="40">
        <f>SUMIFS(MASTER_SALES!N:N, MASTER_SALES!A:A, "&gt;="&amp;A95, MASTER_SALES!A:A, "&lt;="&amp;B95)</f>
        <v>0</v>
      </c>
      <c r="E95" s="40">
        <f t="shared" si="1"/>
        <v>0</v>
      </c>
      <c r="F95" s="41">
        <f t="shared" si="2"/>
        <v>0</v>
      </c>
      <c r="G95" s="40">
        <f>SUMIFS('💰 EXPENSES'!F:F, '💰 EXPENSES'!A:A, "&gt;="&amp;A95, '💰 EXPENSES'!A:A, "&lt;="&amp;B95)</f>
        <v>0</v>
      </c>
      <c r="H95" s="40">
        <f t="shared" si="3"/>
        <v>0</v>
      </c>
      <c r="I95" s="41">
        <f t="shared" si="4"/>
        <v>0</v>
      </c>
      <c r="J95" s="40">
        <f>SUMIFS(MASTER_SALES!E:E, MASTER_SALES!A:A, "&gt;="&amp;A95, MASTER_SALES!A:A, "&lt;="&amp;B95)</f>
        <v>0</v>
      </c>
      <c r="K95" s="7"/>
      <c r="L95" s="41">
        <f t="shared" si="5"/>
        <v>0</v>
      </c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39">
        <v>46683.0</v>
      </c>
      <c r="B96" s="39">
        <v>46689.0</v>
      </c>
      <c r="C96" s="40">
        <f>SUMIFS(MASTER_SALES!G:G, MASTER_SALES!A:A, "&gt;="&amp;A96, MASTER_SALES!A:A, "&lt;="&amp;B96)</f>
        <v>0</v>
      </c>
      <c r="D96" s="40">
        <f>SUMIFS(MASTER_SALES!N:N, MASTER_SALES!A:A, "&gt;="&amp;A96, MASTER_SALES!A:A, "&lt;="&amp;B96)</f>
        <v>0</v>
      </c>
      <c r="E96" s="40">
        <f t="shared" si="1"/>
        <v>0</v>
      </c>
      <c r="F96" s="41">
        <f t="shared" si="2"/>
        <v>0</v>
      </c>
      <c r="G96" s="40">
        <f>SUMIFS('💰 EXPENSES'!F:F, '💰 EXPENSES'!A:A, "&gt;="&amp;A96, '💰 EXPENSES'!A:A, "&lt;="&amp;B96)</f>
        <v>0</v>
      </c>
      <c r="H96" s="40">
        <f t="shared" si="3"/>
        <v>0</v>
      </c>
      <c r="I96" s="41">
        <f t="shared" si="4"/>
        <v>0</v>
      </c>
      <c r="J96" s="40">
        <f>SUMIFS(MASTER_SALES!E:E, MASTER_SALES!A:A, "&gt;="&amp;A96, MASTER_SALES!A:A, "&lt;="&amp;B96)</f>
        <v>0</v>
      </c>
      <c r="K96" s="7"/>
      <c r="L96" s="41">
        <f t="shared" si="5"/>
        <v>0</v>
      </c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39">
        <v>46690.0</v>
      </c>
      <c r="B97" s="39">
        <v>46696.0</v>
      </c>
      <c r="C97" s="40">
        <f>SUMIFS(MASTER_SALES!G:G, MASTER_SALES!A:A, "&gt;="&amp;A97, MASTER_SALES!A:A, "&lt;="&amp;B97)</f>
        <v>0</v>
      </c>
      <c r="D97" s="40">
        <f>SUMIFS(MASTER_SALES!N:N, MASTER_SALES!A:A, "&gt;="&amp;A97, MASTER_SALES!A:A, "&lt;="&amp;B97)</f>
        <v>0</v>
      </c>
      <c r="E97" s="40">
        <f t="shared" si="1"/>
        <v>0</v>
      </c>
      <c r="F97" s="41">
        <f t="shared" si="2"/>
        <v>0</v>
      </c>
      <c r="G97" s="40">
        <f>SUMIFS('💰 EXPENSES'!F:F, '💰 EXPENSES'!A:A, "&gt;="&amp;A97, '💰 EXPENSES'!A:A, "&lt;="&amp;B97)</f>
        <v>0</v>
      </c>
      <c r="H97" s="40">
        <f t="shared" si="3"/>
        <v>0</v>
      </c>
      <c r="I97" s="41">
        <f t="shared" si="4"/>
        <v>0</v>
      </c>
      <c r="J97" s="40">
        <f>SUMIFS(MASTER_SALES!E:E, MASTER_SALES!A:A, "&gt;="&amp;A97, MASTER_SALES!A:A, "&lt;="&amp;B97)</f>
        <v>0</v>
      </c>
      <c r="K97" s="7"/>
      <c r="L97" s="41">
        <f t="shared" si="5"/>
        <v>0</v>
      </c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39">
        <v>46697.0</v>
      </c>
      <c r="B98" s="39">
        <v>46703.0</v>
      </c>
      <c r="C98" s="40">
        <f>SUMIFS(MASTER_SALES!G:G, MASTER_SALES!A:A, "&gt;="&amp;A98, MASTER_SALES!A:A, "&lt;="&amp;B98)</f>
        <v>0</v>
      </c>
      <c r="D98" s="40">
        <f>SUMIFS(MASTER_SALES!N:N, MASTER_SALES!A:A, "&gt;="&amp;A98, MASTER_SALES!A:A, "&lt;="&amp;B98)</f>
        <v>0</v>
      </c>
      <c r="E98" s="40">
        <f t="shared" si="1"/>
        <v>0</v>
      </c>
      <c r="F98" s="41">
        <f t="shared" si="2"/>
        <v>0</v>
      </c>
      <c r="G98" s="40">
        <f>SUMIFS('💰 EXPENSES'!F:F, '💰 EXPENSES'!A:A, "&gt;="&amp;A98, '💰 EXPENSES'!A:A, "&lt;="&amp;B98)</f>
        <v>0</v>
      </c>
      <c r="H98" s="40">
        <f t="shared" si="3"/>
        <v>0</v>
      </c>
      <c r="I98" s="41">
        <f t="shared" si="4"/>
        <v>0</v>
      </c>
      <c r="J98" s="40">
        <f>SUMIFS(MASTER_SALES!E:E, MASTER_SALES!A:A, "&gt;="&amp;A98, MASTER_SALES!A:A, "&lt;="&amp;B98)</f>
        <v>0</v>
      </c>
      <c r="K98" s="7"/>
      <c r="L98" s="41">
        <f t="shared" si="5"/>
        <v>0</v>
      </c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39">
        <v>46704.0</v>
      </c>
      <c r="B99" s="39">
        <v>46710.0</v>
      </c>
      <c r="C99" s="40">
        <f>SUMIFS(MASTER_SALES!G:G, MASTER_SALES!A:A, "&gt;="&amp;A99, MASTER_SALES!A:A, "&lt;="&amp;B99)</f>
        <v>0</v>
      </c>
      <c r="D99" s="40">
        <f>SUMIFS(MASTER_SALES!N:N, MASTER_SALES!A:A, "&gt;="&amp;A99, MASTER_SALES!A:A, "&lt;="&amp;B99)</f>
        <v>0</v>
      </c>
      <c r="E99" s="40">
        <f t="shared" si="1"/>
        <v>0</v>
      </c>
      <c r="F99" s="41">
        <f t="shared" si="2"/>
        <v>0</v>
      </c>
      <c r="G99" s="40">
        <f>SUMIFS('💰 EXPENSES'!F:F, '💰 EXPENSES'!A:A, "&gt;="&amp;A99, '💰 EXPENSES'!A:A, "&lt;="&amp;B99)</f>
        <v>0</v>
      </c>
      <c r="H99" s="40">
        <f t="shared" si="3"/>
        <v>0</v>
      </c>
      <c r="I99" s="41">
        <f t="shared" si="4"/>
        <v>0</v>
      </c>
      <c r="J99" s="40">
        <f>SUMIFS(MASTER_SALES!E:E, MASTER_SALES!A:A, "&gt;="&amp;A99, MASTER_SALES!A:A, "&lt;="&amp;B99)</f>
        <v>0</v>
      </c>
      <c r="K99" s="7"/>
      <c r="L99" s="41">
        <f t="shared" si="5"/>
        <v>0</v>
      </c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39">
        <v>46711.0</v>
      </c>
      <c r="B100" s="39">
        <v>46717.0</v>
      </c>
      <c r="C100" s="40">
        <f>SUMIFS(MASTER_SALES!G:G, MASTER_SALES!A:A, "&gt;="&amp;A100, MASTER_SALES!A:A, "&lt;="&amp;B100)</f>
        <v>0</v>
      </c>
      <c r="D100" s="40">
        <f>SUMIFS(MASTER_SALES!N:N, MASTER_SALES!A:A, "&gt;="&amp;A100, MASTER_SALES!A:A, "&lt;="&amp;B100)</f>
        <v>0</v>
      </c>
      <c r="E100" s="40">
        <f t="shared" si="1"/>
        <v>0</v>
      </c>
      <c r="F100" s="41">
        <f t="shared" si="2"/>
        <v>0</v>
      </c>
      <c r="G100" s="40">
        <f>SUMIFS('💰 EXPENSES'!F:F, '💰 EXPENSES'!A:A, "&gt;="&amp;A100, '💰 EXPENSES'!A:A, "&lt;="&amp;B100)</f>
        <v>0</v>
      </c>
      <c r="H100" s="40">
        <f t="shared" si="3"/>
        <v>0</v>
      </c>
      <c r="I100" s="41">
        <f t="shared" si="4"/>
        <v>0</v>
      </c>
      <c r="J100" s="40">
        <f>SUMIFS(MASTER_SALES!E:E, MASTER_SALES!A:A, "&gt;="&amp;A100, MASTER_SALES!A:A, "&lt;="&amp;B100)</f>
        <v>0</v>
      </c>
      <c r="K100" s="7"/>
      <c r="L100" s="41">
        <f t="shared" si="5"/>
        <v>0</v>
      </c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14.5"/>
    <col customWidth="1" min="3" max="3" width="13.63"/>
    <col customWidth="1" min="4" max="4" width="14.75"/>
    <col customWidth="1" min="5" max="5" width="12.38"/>
    <col customWidth="1" min="6" max="6" width="9.88"/>
    <col customWidth="1" min="7" max="7" width="10.38"/>
    <col customWidth="1" min="8" max="8" width="14.13"/>
    <col customWidth="1" min="9" max="9" width="13.0"/>
    <col customWidth="1" min="10" max="10" width="16.13"/>
    <col customWidth="1" min="11" max="11" width="12.13"/>
    <col customWidth="1" min="12" max="12" width="17.0"/>
  </cols>
  <sheetData>
    <row r="1">
      <c r="A1" s="2" t="s">
        <v>259</v>
      </c>
      <c r="B1" s="2" t="s">
        <v>223</v>
      </c>
      <c r="C1" s="2" t="s">
        <v>249</v>
      </c>
      <c r="D1" s="2" t="s">
        <v>250</v>
      </c>
      <c r="E1" s="2" t="s">
        <v>251</v>
      </c>
      <c r="F1" s="2" t="s">
        <v>252</v>
      </c>
      <c r="G1" s="2" t="s">
        <v>253</v>
      </c>
      <c r="H1" s="2" t="s">
        <v>254</v>
      </c>
      <c r="I1" s="2" t="s">
        <v>255</v>
      </c>
      <c r="J1" s="2" t="s">
        <v>260</v>
      </c>
      <c r="K1" s="2" t="s">
        <v>257</v>
      </c>
      <c r="L1" s="2" t="s">
        <v>258</v>
      </c>
    </row>
    <row r="2">
      <c r="A2" s="42">
        <v>46722.0</v>
      </c>
      <c r="B2" s="43">
        <f>SUMIFS(MASTER_SALES!G:G, MASTER_SALES!A:A, "&gt;="&amp;DATE(YEAR(A2),MONTH(A2),1), MASTER_SALES!A:A, "&lt;="&amp;EOMONTH(A2,0))</f>
        <v>0</v>
      </c>
      <c r="C2" s="43">
        <f>SUMIFS(MASTER_SALES!N:N, MASTER_SALES!A:A, "&gt;="&amp;DATE(YEAR(A2),MONTH(A2),1), MASTER_SALES!A:A, "&lt;="&amp;EOMONTH(A2,0))</f>
        <v>0</v>
      </c>
      <c r="D2" s="43">
        <f t="shared" ref="D2:D25" si="1">B2-C2</f>
        <v>0</v>
      </c>
      <c r="E2" s="44">
        <f t="shared" ref="E2:E25" si="2">IFERROR(D2/B2,0)</f>
        <v>0</v>
      </c>
      <c r="F2" s="43">
        <f>SUMIFS('💰 EXPENSES'!F:F, '💰 EXPENSES'!A:A, "&gt;="&amp;DATE(YEAR(A2),MONTH(A2),1), '💰 EXPENSES'!A:A, "&lt;="&amp;EOMONTH(A2,0))</f>
        <v>0</v>
      </c>
      <c r="G2" s="43">
        <f t="shared" ref="G2:G25" si="3">D2-F2</f>
        <v>0</v>
      </c>
      <c r="H2" s="44">
        <f t="shared" ref="H2:H25" si="4">IFERROR(G2/B2,0)</f>
        <v>0</v>
      </c>
      <c r="I2" s="43">
        <f>SUMIFS(MASTER_SALES!E:E, MASTER_SALES!A:A, "&gt;="&amp;DATE(YEAR(A2),MONTH(A2),1), MASTER_SALES!A:A, "&lt;="&amp;EOMONTH(A2,0))</f>
        <v>0</v>
      </c>
      <c r="J2" s="43">
        <f t="shared" ref="J2:J25" si="5">B2/4</f>
        <v>0</v>
      </c>
      <c r="K2" s="44">
        <f t="shared" ref="K2:K25" si="6">IFERROR((B2-B1)/B1,0)</f>
        <v>0</v>
      </c>
    </row>
    <row r="3">
      <c r="A3" s="42">
        <v>46692.0</v>
      </c>
      <c r="B3" s="43">
        <f>SUMIFS(MASTER_SALES!G:G, MASTER_SALES!A:A, "&gt;="&amp;DATE(YEAR(A3),MONTH(A3),1), MASTER_SALES!A:A, "&lt;="&amp;EOMONTH(A3,0))</f>
        <v>0</v>
      </c>
      <c r="C3" s="43">
        <f>SUMIFS(MASTER_SALES!N:N, MASTER_SALES!A:A, "&gt;="&amp;DATE(YEAR(A3),MONTH(A3),1), MASTER_SALES!A:A, "&lt;="&amp;EOMONTH(A3,0))</f>
        <v>0</v>
      </c>
      <c r="D3" s="43">
        <f t="shared" si="1"/>
        <v>0</v>
      </c>
      <c r="E3" s="44">
        <f t="shared" si="2"/>
        <v>0</v>
      </c>
      <c r="F3" s="43">
        <f>SUMIFS('💰 EXPENSES'!F:F, '💰 EXPENSES'!A:A, "&gt;="&amp;DATE(YEAR(A3),MONTH(A3),1), '💰 EXPENSES'!A:A, "&lt;="&amp;EOMONTH(A3,0))</f>
        <v>0</v>
      </c>
      <c r="G3" s="43">
        <f t="shared" si="3"/>
        <v>0</v>
      </c>
      <c r="H3" s="44">
        <f t="shared" si="4"/>
        <v>0</v>
      </c>
      <c r="I3" s="43">
        <f>SUMIFS(MASTER_SALES!E:E, MASTER_SALES!A:A, "&gt;="&amp;DATE(YEAR(A3),MONTH(A3),1), MASTER_SALES!A:A, "&lt;="&amp;EOMONTH(A3,0))</f>
        <v>0</v>
      </c>
      <c r="J3" s="43">
        <f t="shared" si="5"/>
        <v>0</v>
      </c>
      <c r="K3" s="44">
        <f t="shared" si="6"/>
        <v>0</v>
      </c>
    </row>
    <row r="4">
      <c r="A4" s="42">
        <v>46661.0</v>
      </c>
      <c r="B4" s="43">
        <f>SUMIFS(MASTER_SALES!G:G, MASTER_SALES!A:A, "&gt;="&amp;DATE(YEAR(A4),MONTH(A4),1), MASTER_SALES!A:A, "&lt;="&amp;EOMONTH(A4,0))</f>
        <v>0</v>
      </c>
      <c r="C4" s="43">
        <f>SUMIFS(MASTER_SALES!N:N, MASTER_SALES!A:A, "&gt;="&amp;DATE(YEAR(A4),MONTH(A4),1), MASTER_SALES!A:A, "&lt;="&amp;EOMONTH(A4,0))</f>
        <v>0</v>
      </c>
      <c r="D4" s="43">
        <f t="shared" si="1"/>
        <v>0</v>
      </c>
      <c r="E4" s="44">
        <f t="shared" si="2"/>
        <v>0</v>
      </c>
      <c r="F4" s="43">
        <f>SUMIFS('💰 EXPENSES'!F:F, '💰 EXPENSES'!A:A, "&gt;="&amp;DATE(YEAR(A4),MONTH(A4),1), '💰 EXPENSES'!A:A, "&lt;="&amp;EOMONTH(A4,0))</f>
        <v>0</v>
      </c>
      <c r="G4" s="43">
        <f t="shared" si="3"/>
        <v>0</v>
      </c>
      <c r="H4" s="44">
        <f t="shared" si="4"/>
        <v>0</v>
      </c>
      <c r="I4" s="43">
        <f>SUMIFS(MASTER_SALES!E:E, MASTER_SALES!A:A, "&gt;="&amp;DATE(YEAR(A4),MONTH(A4),1), MASTER_SALES!A:A, "&lt;="&amp;EOMONTH(A4,0))</f>
        <v>0</v>
      </c>
      <c r="J4" s="43">
        <f t="shared" si="5"/>
        <v>0</v>
      </c>
      <c r="K4" s="44">
        <f t="shared" si="6"/>
        <v>0</v>
      </c>
    </row>
    <row r="5">
      <c r="A5" s="42">
        <v>46631.0</v>
      </c>
      <c r="B5" s="43">
        <f>SUMIFS(MASTER_SALES!G:G, MASTER_SALES!A:A, "&gt;="&amp;DATE(YEAR(A5),MONTH(A5),1), MASTER_SALES!A:A, "&lt;="&amp;EOMONTH(A5,0))</f>
        <v>0</v>
      </c>
      <c r="C5" s="43">
        <f>SUMIFS(MASTER_SALES!N:N, MASTER_SALES!A:A, "&gt;="&amp;DATE(YEAR(A5),MONTH(A5),1), MASTER_SALES!A:A, "&lt;="&amp;EOMONTH(A5,0))</f>
        <v>0</v>
      </c>
      <c r="D5" s="43">
        <f t="shared" si="1"/>
        <v>0</v>
      </c>
      <c r="E5" s="44">
        <f t="shared" si="2"/>
        <v>0</v>
      </c>
      <c r="F5" s="43">
        <f>SUMIFS('💰 EXPENSES'!F:F, '💰 EXPENSES'!A:A, "&gt;="&amp;DATE(YEAR(A5),MONTH(A5),1), '💰 EXPENSES'!A:A, "&lt;="&amp;EOMONTH(A5,0))</f>
        <v>0</v>
      </c>
      <c r="G5" s="43">
        <f t="shared" si="3"/>
        <v>0</v>
      </c>
      <c r="H5" s="44">
        <f t="shared" si="4"/>
        <v>0</v>
      </c>
      <c r="I5" s="43">
        <f>SUMIFS(MASTER_SALES!E:E, MASTER_SALES!A:A, "&gt;="&amp;DATE(YEAR(A5),MONTH(A5),1), MASTER_SALES!A:A, "&lt;="&amp;EOMONTH(A5,0))</f>
        <v>0</v>
      </c>
      <c r="J5" s="43">
        <f t="shared" si="5"/>
        <v>0</v>
      </c>
      <c r="K5" s="44">
        <f t="shared" si="6"/>
        <v>0</v>
      </c>
    </row>
    <row r="6">
      <c r="A6" s="42">
        <v>46600.0</v>
      </c>
      <c r="B6" s="43">
        <f>SUMIFS(MASTER_SALES!G:G, MASTER_SALES!A:A, "&gt;="&amp;DATE(YEAR(A6),MONTH(A6),1), MASTER_SALES!A:A, "&lt;="&amp;EOMONTH(A6,0))</f>
        <v>0</v>
      </c>
      <c r="C6" s="43">
        <f>SUMIFS(MASTER_SALES!N:N, MASTER_SALES!A:A, "&gt;="&amp;DATE(YEAR(A6),MONTH(A6),1), MASTER_SALES!A:A, "&lt;="&amp;EOMONTH(A6,0))</f>
        <v>0</v>
      </c>
      <c r="D6" s="43">
        <f t="shared" si="1"/>
        <v>0</v>
      </c>
      <c r="E6" s="44">
        <f t="shared" si="2"/>
        <v>0</v>
      </c>
      <c r="F6" s="43">
        <f>SUMIFS('💰 EXPENSES'!F:F, '💰 EXPENSES'!A:A, "&gt;="&amp;DATE(YEAR(A6),MONTH(A6),1), '💰 EXPENSES'!A:A, "&lt;="&amp;EOMONTH(A6,0))</f>
        <v>0</v>
      </c>
      <c r="G6" s="43">
        <f t="shared" si="3"/>
        <v>0</v>
      </c>
      <c r="H6" s="44">
        <f t="shared" si="4"/>
        <v>0</v>
      </c>
      <c r="I6" s="43">
        <f>SUMIFS(MASTER_SALES!E:E, MASTER_SALES!A:A, "&gt;="&amp;DATE(YEAR(A6),MONTH(A6),1), MASTER_SALES!A:A, "&lt;="&amp;EOMONTH(A6,0))</f>
        <v>0</v>
      </c>
      <c r="J6" s="43">
        <f t="shared" si="5"/>
        <v>0</v>
      </c>
      <c r="K6" s="44">
        <f t="shared" si="6"/>
        <v>0</v>
      </c>
    </row>
    <row r="7">
      <c r="A7" s="42">
        <v>46569.0</v>
      </c>
      <c r="B7" s="43">
        <f>SUMIFS(MASTER_SALES!G:G, MASTER_SALES!A:A, "&gt;="&amp;DATE(YEAR(A7),MONTH(A7),1), MASTER_SALES!A:A, "&lt;="&amp;EOMONTH(A7,0))</f>
        <v>0</v>
      </c>
      <c r="C7" s="43">
        <f>SUMIFS(MASTER_SALES!N:N, MASTER_SALES!A:A, "&gt;="&amp;DATE(YEAR(A7),MONTH(A7),1), MASTER_SALES!A:A, "&lt;="&amp;EOMONTH(A7,0))</f>
        <v>0</v>
      </c>
      <c r="D7" s="43">
        <f t="shared" si="1"/>
        <v>0</v>
      </c>
      <c r="E7" s="44">
        <f t="shared" si="2"/>
        <v>0</v>
      </c>
      <c r="F7" s="43">
        <f>SUMIFS('💰 EXPENSES'!F:F, '💰 EXPENSES'!A:A, "&gt;="&amp;DATE(YEAR(A7),MONTH(A7),1), '💰 EXPENSES'!A:A, "&lt;="&amp;EOMONTH(A7,0))</f>
        <v>0</v>
      </c>
      <c r="G7" s="43">
        <f t="shared" si="3"/>
        <v>0</v>
      </c>
      <c r="H7" s="44">
        <f t="shared" si="4"/>
        <v>0</v>
      </c>
      <c r="I7" s="43">
        <f>SUMIFS(MASTER_SALES!E:E, MASTER_SALES!A:A, "&gt;="&amp;DATE(YEAR(A7),MONTH(A7),1), MASTER_SALES!A:A, "&lt;="&amp;EOMONTH(A7,0))</f>
        <v>0</v>
      </c>
      <c r="J7" s="43">
        <f t="shared" si="5"/>
        <v>0</v>
      </c>
      <c r="K7" s="44">
        <f t="shared" si="6"/>
        <v>0</v>
      </c>
    </row>
    <row r="8">
      <c r="A8" s="42">
        <v>46539.0</v>
      </c>
      <c r="B8" s="43">
        <f>SUMIFS(MASTER_SALES!G:G, MASTER_SALES!A:A, "&gt;="&amp;DATE(YEAR(A8),MONTH(A8),1), MASTER_SALES!A:A, "&lt;="&amp;EOMONTH(A8,0))</f>
        <v>0</v>
      </c>
      <c r="C8" s="43">
        <f>SUMIFS(MASTER_SALES!N:N, MASTER_SALES!A:A, "&gt;="&amp;DATE(YEAR(A8),MONTH(A8),1), MASTER_SALES!A:A, "&lt;="&amp;EOMONTH(A8,0))</f>
        <v>0</v>
      </c>
      <c r="D8" s="43">
        <f t="shared" si="1"/>
        <v>0</v>
      </c>
      <c r="E8" s="44">
        <f t="shared" si="2"/>
        <v>0</v>
      </c>
      <c r="F8" s="43">
        <f>SUMIFS('💰 EXPENSES'!F:F, '💰 EXPENSES'!A:A, "&gt;="&amp;DATE(YEAR(A8),MONTH(A8),1), '💰 EXPENSES'!A:A, "&lt;="&amp;EOMONTH(A8,0))</f>
        <v>0</v>
      </c>
      <c r="G8" s="43">
        <f t="shared" si="3"/>
        <v>0</v>
      </c>
      <c r="H8" s="44">
        <f t="shared" si="4"/>
        <v>0</v>
      </c>
      <c r="I8" s="43">
        <f>SUMIFS(MASTER_SALES!E:E, MASTER_SALES!A:A, "&gt;="&amp;DATE(YEAR(A8),MONTH(A8),1), MASTER_SALES!A:A, "&lt;="&amp;EOMONTH(A8,0))</f>
        <v>0</v>
      </c>
      <c r="J8" s="43">
        <f t="shared" si="5"/>
        <v>0</v>
      </c>
      <c r="K8" s="44">
        <f t="shared" si="6"/>
        <v>0</v>
      </c>
    </row>
    <row r="9">
      <c r="A9" s="42">
        <v>46508.0</v>
      </c>
      <c r="B9" s="43">
        <f>SUMIFS(MASTER_SALES!G:G, MASTER_SALES!A:A, "&gt;="&amp;DATE(YEAR(A9),MONTH(A9),1), MASTER_SALES!A:A, "&lt;="&amp;EOMONTH(A9,0))</f>
        <v>0</v>
      </c>
      <c r="C9" s="43">
        <f>SUMIFS(MASTER_SALES!N:N, MASTER_SALES!A:A, "&gt;="&amp;DATE(YEAR(A9),MONTH(A9),1), MASTER_SALES!A:A, "&lt;="&amp;EOMONTH(A9,0))</f>
        <v>0</v>
      </c>
      <c r="D9" s="43">
        <f t="shared" si="1"/>
        <v>0</v>
      </c>
      <c r="E9" s="44">
        <f t="shared" si="2"/>
        <v>0</v>
      </c>
      <c r="F9" s="43">
        <f>SUMIFS('💰 EXPENSES'!F:F, '💰 EXPENSES'!A:A, "&gt;="&amp;DATE(YEAR(A9),MONTH(A9),1), '💰 EXPENSES'!A:A, "&lt;="&amp;EOMONTH(A9,0))</f>
        <v>0</v>
      </c>
      <c r="G9" s="43">
        <f t="shared" si="3"/>
        <v>0</v>
      </c>
      <c r="H9" s="44">
        <f t="shared" si="4"/>
        <v>0</v>
      </c>
      <c r="I9" s="43">
        <f>SUMIFS(MASTER_SALES!E:E, MASTER_SALES!A:A, "&gt;="&amp;DATE(YEAR(A9),MONTH(A9),1), MASTER_SALES!A:A, "&lt;="&amp;EOMONTH(A9,0))</f>
        <v>0</v>
      </c>
      <c r="J9" s="43">
        <f t="shared" si="5"/>
        <v>0</v>
      </c>
      <c r="K9" s="44">
        <f t="shared" si="6"/>
        <v>0</v>
      </c>
    </row>
    <row r="10">
      <c r="A10" s="42">
        <v>46478.0</v>
      </c>
      <c r="B10" s="43">
        <f>SUMIFS(MASTER_SALES!G:G, MASTER_SALES!A:A, "&gt;="&amp;DATE(YEAR(A10),MONTH(A10),1), MASTER_SALES!A:A, "&lt;="&amp;EOMONTH(A10,0))</f>
        <v>0</v>
      </c>
      <c r="C10" s="43">
        <f>SUMIFS(MASTER_SALES!N:N, MASTER_SALES!A:A, "&gt;="&amp;DATE(YEAR(A10),MONTH(A10),1), MASTER_SALES!A:A, "&lt;="&amp;EOMONTH(A10,0))</f>
        <v>0</v>
      </c>
      <c r="D10" s="43">
        <f t="shared" si="1"/>
        <v>0</v>
      </c>
      <c r="E10" s="44">
        <f t="shared" si="2"/>
        <v>0</v>
      </c>
      <c r="F10" s="43">
        <f>SUMIFS('💰 EXPENSES'!F:F, '💰 EXPENSES'!A:A, "&gt;="&amp;DATE(YEAR(A10),MONTH(A10),1), '💰 EXPENSES'!A:A, "&lt;="&amp;EOMONTH(A10,0))</f>
        <v>0</v>
      </c>
      <c r="G10" s="43">
        <f t="shared" si="3"/>
        <v>0</v>
      </c>
      <c r="H10" s="44">
        <f t="shared" si="4"/>
        <v>0</v>
      </c>
      <c r="I10" s="43">
        <f>SUMIFS(MASTER_SALES!E:E, MASTER_SALES!A:A, "&gt;="&amp;DATE(YEAR(A10),MONTH(A10),1), MASTER_SALES!A:A, "&lt;="&amp;EOMONTH(A10,0))</f>
        <v>0</v>
      </c>
      <c r="J10" s="43">
        <f t="shared" si="5"/>
        <v>0</v>
      </c>
      <c r="K10" s="44">
        <f t="shared" si="6"/>
        <v>0</v>
      </c>
    </row>
    <row r="11">
      <c r="A11" s="42">
        <v>46447.0</v>
      </c>
      <c r="B11" s="43">
        <f>SUMIFS(MASTER_SALES!G:G, MASTER_SALES!A:A, "&gt;="&amp;DATE(YEAR(A11),MONTH(A11),1), MASTER_SALES!A:A, "&lt;="&amp;EOMONTH(A11,0))</f>
        <v>0</v>
      </c>
      <c r="C11" s="43">
        <f>SUMIFS(MASTER_SALES!N:N, MASTER_SALES!A:A, "&gt;="&amp;DATE(YEAR(A11),MONTH(A11),1), MASTER_SALES!A:A, "&lt;="&amp;EOMONTH(A11,0))</f>
        <v>0</v>
      </c>
      <c r="D11" s="43">
        <f t="shared" si="1"/>
        <v>0</v>
      </c>
      <c r="E11" s="44">
        <f t="shared" si="2"/>
        <v>0</v>
      </c>
      <c r="F11" s="43">
        <f>SUMIFS('💰 EXPENSES'!F:F, '💰 EXPENSES'!A:A, "&gt;="&amp;DATE(YEAR(A11),MONTH(A11),1), '💰 EXPENSES'!A:A, "&lt;="&amp;EOMONTH(A11,0))</f>
        <v>0</v>
      </c>
      <c r="G11" s="43">
        <f t="shared" si="3"/>
        <v>0</v>
      </c>
      <c r="H11" s="44">
        <f t="shared" si="4"/>
        <v>0</v>
      </c>
      <c r="I11" s="43">
        <f>SUMIFS(MASTER_SALES!E:E, MASTER_SALES!A:A, "&gt;="&amp;DATE(YEAR(A11),MONTH(A11),1), MASTER_SALES!A:A, "&lt;="&amp;EOMONTH(A11,0))</f>
        <v>0</v>
      </c>
      <c r="J11" s="43">
        <f t="shared" si="5"/>
        <v>0</v>
      </c>
      <c r="K11" s="44">
        <f t="shared" si="6"/>
        <v>0</v>
      </c>
    </row>
    <row r="12">
      <c r="A12" s="42">
        <v>46419.0</v>
      </c>
      <c r="B12" s="43">
        <f>SUMIFS(MASTER_SALES!G:G, MASTER_SALES!A:A, "&gt;="&amp;DATE(YEAR(A12),MONTH(A12),1), MASTER_SALES!A:A, "&lt;="&amp;EOMONTH(A12,0))</f>
        <v>0</v>
      </c>
      <c r="C12" s="43">
        <f>SUMIFS(MASTER_SALES!N:N, MASTER_SALES!A:A, "&gt;="&amp;DATE(YEAR(A12),MONTH(A12),1), MASTER_SALES!A:A, "&lt;="&amp;EOMONTH(A12,0))</f>
        <v>0</v>
      </c>
      <c r="D12" s="43">
        <f t="shared" si="1"/>
        <v>0</v>
      </c>
      <c r="E12" s="44">
        <f t="shared" si="2"/>
        <v>0</v>
      </c>
      <c r="F12" s="43">
        <f>SUMIFS('💰 EXPENSES'!F:F, '💰 EXPENSES'!A:A, "&gt;="&amp;DATE(YEAR(A12),MONTH(A12),1), '💰 EXPENSES'!A:A, "&lt;="&amp;EOMONTH(A12,0))</f>
        <v>0</v>
      </c>
      <c r="G12" s="43">
        <f t="shared" si="3"/>
        <v>0</v>
      </c>
      <c r="H12" s="44">
        <f t="shared" si="4"/>
        <v>0</v>
      </c>
      <c r="I12" s="43">
        <f>SUMIFS(MASTER_SALES!E:E, MASTER_SALES!A:A, "&gt;="&amp;DATE(YEAR(A12),MONTH(A12),1), MASTER_SALES!A:A, "&lt;="&amp;EOMONTH(A12,0))</f>
        <v>0</v>
      </c>
      <c r="J12" s="43">
        <f t="shared" si="5"/>
        <v>0</v>
      </c>
      <c r="K12" s="44">
        <f t="shared" si="6"/>
        <v>0</v>
      </c>
    </row>
    <row r="13">
      <c r="A13" s="42">
        <v>46388.0</v>
      </c>
      <c r="B13" s="43">
        <f>SUMIFS(MASTER_SALES!G:G, MASTER_SALES!A:A, "&gt;="&amp;DATE(YEAR(A13),MONTH(A13),1), MASTER_SALES!A:A, "&lt;="&amp;EOMONTH(A13,0))</f>
        <v>0</v>
      </c>
      <c r="C13" s="43">
        <f>SUMIFS(MASTER_SALES!N:N, MASTER_SALES!A:A, "&gt;="&amp;DATE(YEAR(A13),MONTH(A13),1), MASTER_SALES!A:A, "&lt;="&amp;EOMONTH(A13,0))</f>
        <v>0</v>
      </c>
      <c r="D13" s="43">
        <f t="shared" si="1"/>
        <v>0</v>
      </c>
      <c r="E13" s="44">
        <f t="shared" si="2"/>
        <v>0</v>
      </c>
      <c r="F13" s="43">
        <f>SUMIFS('💰 EXPENSES'!F:F, '💰 EXPENSES'!A:A, "&gt;="&amp;DATE(YEAR(A13),MONTH(A13),1), '💰 EXPENSES'!A:A, "&lt;="&amp;EOMONTH(A13,0))</f>
        <v>0</v>
      </c>
      <c r="G13" s="43">
        <f t="shared" si="3"/>
        <v>0</v>
      </c>
      <c r="H13" s="44">
        <f t="shared" si="4"/>
        <v>0</v>
      </c>
      <c r="I13" s="43">
        <f>SUMIFS(MASTER_SALES!E:E, MASTER_SALES!A:A, "&gt;="&amp;DATE(YEAR(A13),MONTH(A13),1), MASTER_SALES!A:A, "&lt;="&amp;EOMONTH(A13,0))</f>
        <v>0</v>
      </c>
      <c r="J13" s="43">
        <f t="shared" si="5"/>
        <v>0</v>
      </c>
      <c r="K13" s="44">
        <f t="shared" si="6"/>
        <v>0</v>
      </c>
    </row>
    <row r="14">
      <c r="A14" s="42">
        <v>46357.0</v>
      </c>
      <c r="B14" s="43">
        <f>SUMIFS(MASTER_SALES!G:G, MASTER_SALES!A:A, "&gt;="&amp;DATE(YEAR(A14),MONTH(A14),1), MASTER_SALES!A:A, "&lt;="&amp;EOMONTH(A14,0))</f>
        <v>0</v>
      </c>
      <c r="C14" s="43">
        <f>SUMIFS(MASTER_SALES!N:N, MASTER_SALES!A:A, "&gt;="&amp;DATE(YEAR(A14),MONTH(A14),1), MASTER_SALES!A:A, "&lt;="&amp;EOMONTH(A14,0))</f>
        <v>0</v>
      </c>
      <c r="D14" s="43">
        <f t="shared" si="1"/>
        <v>0</v>
      </c>
      <c r="E14" s="44">
        <f t="shared" si="2"/>
        <v>0</v>
      </c>
      <c r="F14" s="43">
        <f>SUMIFS('💰 EXPENSES'!F:F, '💰 EXPENSES'!A:A, "&gt;="&amp;DATE(YEAR(A14),MONTH(A14),1), '💰 EXPENSES'!A:A, "&lt;="&amp;EOMONTH(A14,0))</f>
        <v>0</v>
      </c>
      <c r="G14" s="43">
        <f t="shared" si="3"/>
        <v>0</v>
      </c>
      <c r="H14" s="44">
        <f t="shared" si="4"/>
        <v>0</v>
      </c>
      <c r="I14" s="43">
        <f>SUMIFS(MASTER_SALES!E:E, MASTER_SALES!A:A, "&gt;="&amp;DATE(YEAR(A14),MONTH(A14),1), MASTER_SALES!A:A, "&lt;="&amp;EOMONTH(A14,0))</f>
        <v>0</v>
      </c>
      <c r="J14" s="43">
        <f t="shared" si="5"/>
        <v>0</v>
      </c>
      <c r="K14" s="44">
        <f t="shared" si="6"/>
        <v>0</v>
      </c>
    </row>
    <row r="15">
      <c r="A15" s="42">
        <v>46327.0</v>
      </c>
      <c r="B15" s="43">
        <f>SUMIFS(MASTER_SALES!G:G, MASTER_SALES!A:A, "&gt;="&amp;DATE(YEAR(A15),MONTH(A15),1), MASTER_SALES!A:A, "&lt;="&amp;EOMONTH(A15,0))</f>
        <v>0</v>
      </c>
      <c r="C15" s="43">
        <f>SUMIFS(MASTER_SALES!N:N, MASTER_SALES!A:A, "&gt;="&amp;DATE(YEAR(A15),MONTH(A15),1), MASTER_SALES!A:A, "&lt;="&amp;EOMONTH(A15,0))</f>
        <v>0</v>
      </c>
      <c r="D15" s="43">
        <f t="shared" si="1"/>
        <v>0</v>
      </c>
      <c r="E15" s="44">
        <f t="shared" si="2"/>
        <v>0</v>
      </c>
      <c r="F15" s="43">
        <f>SUMIFS('💰 EXPENSES'!F:F, '💰 EXPENSES'!A:A, "&gt;="&amp;DATE(YEAR(A15),MONTH(A15),1), '💰 EXPENSES'!A:A, "&lt;="&amp;EOMONTH(A15,0))</f>
        <v>0</v>
      </c>
      <c r="G15" s="43">
        <f t="shared" si="3"/>
        <v>0</v>
      </c>
      <c r="H15" s="44">
        <f t="shared" si="4"/>
        <v>0</v>
      </c>
      <c r="I15" s="43">
        <f>SUMIFS(MASTER_SALES!E:E, MASTER_SALES!A:A, "&gt;="&amp;DATE(YEAR(A15),MONTH(A15),1), MASTER_SALES!A:A, "&lt;="&amp;EOMONTH(A15,0))</f>
        <v>0</v>
      </c>
      <c r="J15" s="43">
        <f t="shared" si="5"/>
        <v>0</v>
      </c>
      <c r="K15" s="44">
        <f t="shared" si="6"/>
        <v>0</v>
      </c>
    </row>
    <row r="16">
      <c r="A16" s="42">
        <v>46296.0</v>
      </c>
      <c r="B16" s="43">
        <f>SUMIFS(MASTER_SALES!G:G, MASTER_SALES!A:A, "&gt;="&amp;DATE(YEAR(A16),MONTH(A16),1), MASTER_SALES!A:A, "&lt;="&amp;EOMONTH(A16,0))</f>
        <v>0</v>
      </c>
      <c r="C16" s="43">
        <f>SUMIFS(MASTER_SALES!N:N, MASTER_SALES!A:A, "&gt;="&amp;DATE(YEAR(A16),MONTH(A16),1), MASTER_SALES!A:A, "&lt;="&amp;EOMONTH(A16,0))</f>
        <v>0</v>
      </c>
      <c r="D16" s="43">
        <f t="shared" si="1"/>
        <v>0</v>
      </c>
      <c r="E16" s="44">
        <f t="shared" si="2"/>
        <v>0</v>
      </c>
      <c r="F16" s="43">
        <f>SUMIFS('💰 EXPENSES'!F:F, '💰 EXPENSES'!A:A, "&gt;="&amp;DATE(YEAR(A16),MONTH(A16),1), '💰 EXPENSES'!A:A, "&lt;="&amp;EOMONTH(A16,0))</f>
        <v>0</v>
      </c>
      <c r="G16" s="43">
        <f t="shared" si="3"/>
        <v>0</v>
      </c>
      <c r="H16" s="44">
        <f t="shared" si="4"/>
        <v>0</v>
      </c>
      <c r="I16" s="43">
        <f>SUMIFS(MASTER_SALES!E:E, MASTER_SALES!A:A, "&gt;="&amp;DATE(YEAR(A16),MONTH(A16),1), MASTER_SALES!A:A, "&lt;="&amp;EOMONTH(A16,0))</f>
        <v>0</v>
      </c>
      <c r="J16" s="43">
        <f t="shared" si="5"/>
        <v>0</v>
      </c>
      <c r="K16" s="44">
        <f t="shared" si="6"/>
        <v>0</v>
      </c>
    </row>
    <row r="17">
      <c r="A17" s="42">
        <v>46266.0</v>
      </c>
      <c r="B17" s="43">
        <f>SUMIFS(MASTER_SALES!G:G, MASTER_SALES!A:A, "&gt;="&amp;DATE(YEAR(A17),MONTH(A17),1), MASTER_SALES!A:A, "&lt;="&amp;EOMONTH(A17,0))</f>
        <v>0</v>
      </c>
      <c r="C17" s="43">
        <f>SUMIFS(MASTER_SALES!N:N, MASTER_SALES!A:A, "&gt;="&amp;DATE(YEAR(A17),MONTH(A17),1), MASTER_SALES!A:A, "&lt;="&amp;EOMONTH(A17,0))</f>
        <v>0</v>
      </c>
      <c r="D17" s="43">
        <f t="shared" si="1"/>
        <v>0</v>
      </c>
      <c r="E17" s="44">
        <f t="shared" si="2"/>
        <v>0</v>
      </c>
      <c r="F17" s="43">
        <f>SUMIFS('💰 EXPENSES'!F:F, '💰 EXPENSES'!A:A, "&gt;="&amp;DATE(YEAR(A17),MONTH(A17),1), '💰 EXPENSES'!A:A, "&lt;="&amp;EOMONTH(A17,0))</f>
        <v>0</v>
      </c>
      <c r="G17" s="43">
        <f t="shared" si="3"/>
        <v>0</v>
      </c>
      <c r="H17" s="44">
        <f t="shared" si="4"/>
        <v>0</v>
      </c>
      <c r="I17" s="43">
        <f>SUMIFS(MASTER_SALES!E:E, MASTER_SALES!A:A, "&gt;="&amp;DATE(YEAR(A17),MONTH(A17),1), MASTER_SALES!A:A, "&lt;="&amp;EOMONTH(A17,0))</f>
        <v>0</v>
      </c>
      <c r="J17" s="43">
        <f t="shared" si="5"/>
        <v>0</v>
      </c>
      <c r="K17" s="44">
        <f t="shared" si="6"/>
        <v>0</v>
      </c>
    </row>
    <row r="18">
      <c r="A18" s="42">
        <v>46235.85268023148</v>
      </c>
      <c r="B18" s="43">
        <f>SUMIFS(MASTER_SALES!G:G, MASTER_SALES!A:A, "&gt;="&amp;DATE(YEAR(A18),MONTH(A18),1), MASTER_SALES!A:A, "&lt;="&amp;EOMONTH(A18,0))</f>
        <v>735000</v>
      </c>
      <c r="C18" s="43">
        <f>SUMIFS(MASTER_SALES!N:N, MASTER_SALES!A:A, "&gt;="&amp;DATE(YEAR(A18),MONTH(A18),1), MASTER_SALES!A:A, "&lt;="&amp;EOMONTH(A18,0))</f>
        <v>156929.9967</v>
      </c>
      <c r="D18" s="43">
        <f t="shared" si="1"/>
        <v>578070.0033</v>
      </c>
      <c r="E18" s="44">
        <f t="shared" si="2"/>
        <v>0.7864898005</v>
      </c>
      <c r="F18" s="43">
        <f>SUMIFS('💰 EXPENSES'!F:F, '💰 EXPENSES'!A:A, "&gt;="&amp;DATE(YEAR(A18),MONTH(A18),1), '💰 EXPENSES'!A:A, "&lt;="&amp;EOMONTH(A18,0))</f>
        <v>1057000</v>
      </c>
      <c r="G18" s="43">
        <f t="shared" si="3"/>
        <v>-478929.9967</v>
      </c>
      <c r="H18" s="44">
        <f t="shared" si="4"/>
        <v>-0.6516054376</v>
      </c>
      <c r="I18" s="43">
        <f>SUMIFS(MASTER_SALES!E:E, MASTER_SALES!A:A, "&gt;="&amp;DATE(YEAR(A18),MONTH(A18),1), MASTER_SALES!A:A, "&lt;="&amp;EOMONTH(A18,0))</f>
        <v>158</v>
      </c>
      <c r="J18" s="43">
        <f t="shared" si="5"/>
        <v>183750</v>
      </c>
      <c r="K18" s="44">
        <f t="shared" si="6"/>
        <v>0</v>
      </c>
    </row>
    <row r="19">
      <c r="A19" s="42">
        <v>46204.85268023148</v>
      </c>
      <c r="B19" s="43">
        <f>SUMIFS(MASTER_SALES!G:G, MASTER_SALES!A:A, "&gt;="&amp;DATE(YEAR(A19),MONTH(A19),1), MASTER_SALES!A:A, "&lt;="&amp;EOMONTH(A19,0))</f>
        <v>504000</v>
      </c>
      <c r="C19" s="43">
        <f>SUMIFS(MASTER_SALES!N:N, MASTER_SALES!A:A, "&gt;="&amp;DATE(YEAR(A19),MONTH(A19),1), MASTER_SALES!A:A, "&lt;="&amp;EOMONTH(A19,0))</f>
        <v>257623.3333</v>
      </c>
      <c r="D19" s="43">
        <f t="shared" si="1"/>
        <v>246376.6667</v>
      </c>
      <c r="E19" s="44">
        <f t="shared" si="2"/>
        <v>0.4888425926</v>
      </c>
      <c r="F19" s="43">
        <f>SUMIFS('💰 EXPENSES'!F:F, '💰 EXPENSES'!A:A, "&gt;="&amp;DATE(YEAR(A19),MONTH(A19),1), '💰 EXPENSES'!A:A, "&lt;="&amp;EOMONTH(A19,0))</f>
        <v>698000</v>
      </c>
      <c r="G19" s="43">
        <f t="shared" si="3"/>
        <v>-451623.3333</v>
      </c>
      <c r="H19" s="44">
        <f t="shared" si="4"/>
        <v>-0.8960780423</v>
      </c>
      <c r="I19" s="43">
        <f>SUMIFS(MASTER_SALES!E:E, MASTER_SALES!A:A, "&gt;="&amp;DATE(YEAR(A19),MONTH(A19),1), MASTER_SALES!A:A, "&lt;="&amp;EOMONTH(A19,0))</f>
        <v>328</v>
      </c>
      <c r="J19" s="43">
        <f t="shared" si="5"/>
        <v>126000</v>
      </c>
      <c r="K19" s="44">
        <f t="shared" si="6"/>
        <v>-0.3142857143</v>
      </c>
    </row>
    <row r="20">
      <c r="A20" s="42">
        <v>46174.85268023148</v>
      </c>
      <c r="B20" s="43">
        <f>SUMIFS(MASTER_SALES!G:G, MASTER_SALES!A:A, "&gt;="&amp;DATE(YEAR(A20),MONTH(A20),1), MASTER_SALES!A:A, "&lt;="&amp;EOMONTH(A20,0))</f>
        <v>409500</v>
      </c>
      <c r="C20" s="43">
        <f>SUMIFS(MASTER_SALES!N:N, MASTER_SALES!A:A, "&gt;="&amp;DATE(YEAR(A20),MONTH(A20),1), MASTER_SALES!A:A, "&lt;="&amp;EOMONTH(A20,0))</f>
        <v>196970</v>
      </c>
      <c r="D20" s="43">
        <f t="shared" si="1"/>
        <v>212530</v>
      </c>
      <c r="E20" s="44">
        <f t="shared" si="2"/>
        <v>0.518998779</v>
      </c>
      <c r="F20" s="43">
        <f>SUMIFS('💰 EXPENSES'!F:F, '💰 EXPENSES'!A:A, "&gt;="&amp;DATE(YEAR(A20),MONTH(A20),1), '💰 EXPENSES'!A:A, "&lt;="&amp;EOMONTH(A20,0))</f>
        <v>136000</v>
      </c>
      <c r="G20" s="43">
        <f t="shared" si="3"/>
        <v>76530</v>
      </c>
      <c r="H20" s="44">
        <f t="shared" si="4"/>
        <v>0.1868864469</v>
      </c>
      <c r="I20" s="43">
        <f>SUMIFS(MASTER_SALES!E:E, MASTER_SALES!A:A, "&gt;="&amp;DATE(YEAR(A20),MONTH(A20),1), MASTER_SALES!A:A, "&lt;="&amp;EOMONTH(A20,0))</f>
        <v>183</v>
      </c>
      <c r="J20" s="43">
        <f t="shared" si="5"/>
        <v>102375</v>
      </c>
      <c r="K20" s="44">
        <f t="shared" si="6"/>
        <v>-0.1875</v>
      </c>
    </row>
    <row r="21">
      <c r="A21" s="42">
        <v>46143.85268023148</v>
      </c>
      <c r="B21" s="43">
        <f>SUMIFS(MASTER_SALES!G:G, MASTER_SALES!A:A, "&gt;="&amp;DATE(YEAR(A21),MONTH(A21),1), MASTER_SALES!A:A, "&lt;="&amp;EOMONTH(A21,0))</f>
        <v>0</v>
      </c>
      <c r="C21" s="43">
        <f>SUMIFS(MASTER_SALES!N:N, MASTER_SALES!A:A, "&gt;="&amp;DATE(YEAR(A21),MONTH(A21),1), MASTER_SALES!A:A, "&lt;="&amp;EOMONTH(A21,0))</f>
        <v>0</v>
      </c>
      <c r="D21" s="43">
        <f t="shared" si="1"/>
        <v>0</v>
      </c>
      <c r="E21" s="44">
        <f t="shared" si="2"/>
        <v>0</v>
      </c>
      <c r="F21" s="43">
        <f>SUMIFS('💰 EXPENSES'!F:F, '💰 EXPENSES'!A:A, "&gt;="&amp;DATE(YEAR(A21),MONTH(A21),1), '💰 EXPENSES'!A:A, "&lt;="&amp;EOMONTH(A21,0))</f>
        <v>0</v>
      </c>
      <c r="G21" s="43">
        <f t="shared" si="3"/>
        <v>0</v>
      </c>
      <c r="H21" s="44">
        <f t="shared" si="4"/>
        <v>0</v>
      </c>
      <c r="I21" s="43">
        <f>SUMIFS(MASTER_SALES!E:E, MASTER_SALES!A:A, "&gt;="&amp;DATE(YEAR(A21),MONTH(A21),1), MASTER_SALES!A:A, "&lt;="&amp;EOMONTH(A21,0))</f>
        <v>0</v>
      </c>
      <c r="J21" s="43">
        <f t="shared" si="5"/>
        <v>0</v>
      </c>
      <c r="K21" s="44">
        <f t="shared" si="6"/>
        <v>-1</v>
      </c>
    </row>
    <row r="22">
      <c r="A22" s="42">
        <v>46113.85268023148</v>
      </c>
      <c r="B22" s="43">
        <f>SUMIFS(MASTER_SALES!G:G, MASTER_SALES!A:A, "&gt;="&amp;DATE(YEAR(A22),MONTH(A22),1), MASTER_SALES!A:A, "&lt;="&amp;EOMONTH(A22,0))</f>
        <v>0</v>
      </c>
      <c r="C22" s="43">
        <f>SUMIFS(MASTER_SALES!N:N, MASTER_SALES!A:A, "&gt;="&amp;DATE(YEAR(A22),MONTH(A22),1), MASTER_SALES!A:A, "&lt;="&amp;EOMONTH(A22,0))</f>
        <v>0</v>
      </c>
      <c r="D22" s="43">
        <f t="shared" si="1"/>
        <v>0</v>
      </c>
      <c r="E22" s="44">
        <f t="shared" si="2"/>
        <v>0</v>
      </c>
      <c r="F22" s="43">
        <f>SUMIFS('💰 EXPENSES'!F:F, '💰 EXPENSES'!A:A, "&gt;="&amp;DATE(YEAR(A22),MONTH(A22),1), '💰 EXPENSES'!A:A, "&lt;="&amp;EOMONTH(A22,0))</f>
        <v>0</v>
      </c>
      <c r="G22" s="43">
        <f t="shared" si="3"/>
        <v>0</v>
      </c>
      <c r="H22" s="44">
        <f t="shared" si="4"/>
        <v>0</v>
      </c>
      <c r="I22" s="43">
        <f>SUMIFS(MASTER_SALES!E:E, MASTER_SALES!A:A, "&gt;="&amp;DATE(YEAR(A22),MONTH(A22),1), MASTER_SALES!A:A, "&lt;="&amp;EOMONTH(A22,0))</f>
        <v>0</v>
      </c>
      <c r="J22" s="43">
        <f t="shared" si="5"/>
        <v>0</v>
      </c>
      <c r="K22" s="44">
        <f t="shared" si="6"/>
        <v>0</v>
      </c>
    </row>
    <row r="23">
      <c r="A23" s="42">
        <v>46082.85268023148</v>
      </c>
      <c r="B23" s="43">
        <f>SUMIFS(MASTER_SALES!G:G, MASTER_SALES!A:A, "&gt;="&amp;DATE(YEAR(A23),MONTH(A23),1), MASTER_SALES!A:A, "&lt;="&amp;EOMONTH(A23,0))</f>
        <v>0</v>
      </c>
      <c r="C23" s="43">
        <f>SUMIFS(MASTER_SALES!N:N, MASTER_SALES!A:A, "&gt;="&amp;DATE(YEAR(A23),MONTH(A23),1), MASTER_SALES!A:A, "&lt;="&amp;EOMONTH(A23,0))</f>
        <v>0</v>
      </c>
      <c r="D23" s="43">
        <f t="shared" si="1"/>
        <v>0</v>
      </c>
      <c r="E23" s="44">
        <f t="shared" si="2"/>
        <v>0</v>
      </c>
      <c r="F23" s="43">
        <f>SUMIFS('💰 EXPENSES'!F:F, '💰 EXPENSES'!A:A, "&gt;="&amp;DATE(YEAR(A23),MONTH(A23),1), '💰 EXPENSES'!A:A, "&lt;="&amp;EOMONTH(A23,0))</f>
        <v>0</v>
      </c>
      <c r="G23" s="43">
        <f t="shared" si="3"/>
        <v>0</v>
      </c>
      <c r="H23" s="44">
        <f t="shared" si="4"/>
        <v>0</v>
      </c>
      <c r="I23" s="43">
        <f>SUMIFS(MASTER_SALES!E:E, MASTER_SALES!A:A, "&gt;="&amp;DATE(YEAR(A23),MONTH(A23),1), MASTER_SALES!A:A, "&lt;="&amp;EOMONTH(A23,0))</f>
        <v>0</v>
      </c>
      <c r="J23" s="43">
        <f t="shared" si="5"/>
        <v>0</v>
      </c>
      <c r="K23" s="44">
        <f t="shared" si="6"/>
        <v>0</v>
      </c>
    </row>
    <row r="24">
      <c r="A24" s="42">
        <v>46054.85268023148</v>
      </c>
      <c r="B24" s="43">
        <f>SUMIFS(MASTER_SALES!G:G, MASTER_SALES!A:A, "&gt;="&amp;DATE(YEAR(A24),MONTH(A24),1), MASTER_SALES!A:A, "&lt;="&amp;EOMONTH(A24,0))</f>
        <v>0</v>
      </c>
      <c r="C24" s="43">
        <f>SUMIFS(MASTER_SALES!N:N, MASTER_SALES!A:A, "&gt;="&amp;DATE(YEAR(A24),MONTH(A24),1), MASTER_SALES!A:A, "&lt;="&amp;EOMONTH(A24,0))</f>
        <v>0</v>
      </c>
      <c r="D24" s="43">
        <f t="shared" si="1"/>
        <v>0</v>
      </c>
      <c r="E24" s="44">
        <f t="shared" si="2"/>
        <v>0</v>
      </c>
      <c r="F24" s="43">
        <f>SUMIFS('💰 EXPENSES'!F:F, '💰 EXPENSES'!A:A, "&gt;="&amp;DATE(YEAR(A24),MONTH(A24),1), '💰 EXPENSES'!A:A, "&lt;="&amp;EOMONTH(A24,0))</f>
        <v>0</v>
      </c>
      <c r="G24" s="43">
        <f t="shared" si="3"/>
        <v>0</v>
      </c>
      <c r="H24" s="44">
        <f t="shared" si="4"/>
        <v>0</v>
      </c>
      <c r="I24" s="43">
        <f>SUMIFS(MASTER_SALES!E:E, MASTER_SALES!A:A, "&gt;="&amp;DATE(YEAR(A24),MONTH(A24),1), MASTER_SALES!A:A, "&lt;="&amp;EOMONTH(A24,0))</f>
        <v>0</v>
      </c>
      <c r="J24" s="43">
        <f t="shared" si="5"/>
        <v>0</v>
      </c>
      <c r="K24" s="44">
        <f t="shared" si="6"/>
        <v>0</v>
      </c>
    </row>
    <row r="25">
      <c r="A25" s="42">
        <v>46023.85268023148</v>
      </c>
      <c r="B25" s="43">
        <f>SUMIFS(MASTER_SALES!G:G, MASTER_SALES!A:A, "&gt;="&amp;DATE(YEAR(A25),MONTH(A25),1), MASTER_SALES!A:A, "&lt;="&amp;EOMONTH(A25,0))</f>
        <v>0</v>
      </c>
      <c r="C25" s="43">
        <f>SUMIFS(MASTER_SALES!N:N, MASTER_SALES!A:A, "&gt;="&amp;DATE(YEAR(A25),MONTH(A25),1), MASTER_SALES!A:A, "&lt;="&amp;EOMONTH(A25,0))</f>
        <v>0</v>
      </c>
      <c r="D25" s="43">
        <f t="shared" si="1"/>
        <v>0</v>
      </c>
      <c r="E25" s="44">
        <f t="shared" si="2"/>
        <v>0</v>
      </c>
      <c r="F25" s="43">
        <f>SUMIFS('💰 EXPENSES'!F:F, '💰 EXPENSES'!A:A, "&gt;="&amp;DATE(YEAR(A25),MONTH(A25),1), '💰 EXPENSES'!A:A, "&lt;="&amp;EOMONTH(A25,0))</f>
        <v>0</v>
      </c>
      <c r="G25" s="43">
        <f t="shared" si="3"/>
        <v>0</v>
      </c>
      <c r="H25" s="44">
        <f t="shared" si="4"/>
        <v>0</v>
      </c>
      <c r="I25" s="43">
        <f>SUMIFS(MASTER_SALES!E:E, MASTER_SALES!A:A, "&gt;="&amp;DATE(YEAR(A25),MONTH(A25),1), MASTER_SALES!A:A, "&lt;="&amp;EOMONTH(A25,0))</f>
        <v>0</v>
      </c>
      <c r="J25" s="43">
        <f t="shared" si="5"/>
        <v>0</v>
      </c>
      <c r="K25" s="44">
        <f t="shared" si="6"/>
        <v>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25"/>
    <col customWidth="1" min="2" max="2" width="26.88"/>
    <col customWidth="1" min="3" max="26" width="28.0"/>
  </cols>
  <sheetData>
    <row r="1">
      <c r="A1" s="38" t="s">
        <v>5</v>
      </c>
      <c r="B1" s="38" t="s">
        <v>261</v>
      </c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>
      <c r="A2" s="36" t="s">
        <v>17</v>
      </c>
      <c r="B2" s="45">
        <v>330.0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>
      <c r="A3" s="36" t="s">
        <v>21</v>
      </c>
      <c r="B3" s="45">
        <v>470.0</v>
      </c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>
      <c r="A4" s="36" t="s">
        <v>23</v>
      </c>
      <c r="B4" s="45">
        <v>660.0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>
      <c r="A5" s="36" t="s">
        <v>25</v>
      </c>
      <c r="B5" s="36">
        <v>1070.0</v>
      </c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>
      <c r="A6" s="36" t="s">
        <v>29</v>
      </c>
      <c r="B6" s="36">
        <v>1070.0</v>
      </c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>
      <c r="A7" s="36" t="s">
        <v>155</v>
      </c>
      <c r="B7" s="46">
        <v>3383.33333333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>
      <c r="A8" s="36" t="s">
        <v>43</v>
      </c>
      <c r="B8" s="46">
        <v>3733.33333333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>
      <c r="A9" s="36" t="s">
        <v>48</v>
      </c>
      <c r="B9" s="36">
        <v>8583.33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>
      <c r="A10" s="36" t="s">
        <v>53</v>
      </c>
      <c r="B10" s="36">
        <v>5000.0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>
      <c r="A11" s="36" t="s">
        <v>56</v>
      </c>
      <c r="B11" s="45">
        <v>12700.0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2" max="2" width="14.88"/>
    <col customWidth="1" min="3" max="3" width="25.13"/>
    <col customWidth="1" min="4" max="4" width="23.0"/>
    <col customWidth="1" min="5" max="5" width="14.75"/>
    <col customWidth="1" min="6" max="6" width="14.0"/>
    <col customWidth="1" min="7" max="7" width="17.13"/>
    <col customWidth="1" min="8" max="8" width="20.75"/>
    <col customWidth="1" min="9" max="9" width="19.63"/>
    <col customWidth="1" min="10" max="10" width="14.13"/>
    <col customWidth="1" min="11" max="11" width="17.88"/>
    <col customWidth="1" min="12" max="12" width="23.0"/>
    <col customWidth="1" min="13" max="13" width="23.88"/>
    <col customWidth="1" min="14" max="14" width="15.75"/>
  </cols>
  <sheetData>
    <row r="1">
      <c r="A1" s="3" t="s">
        <v>118</v>
      </c>
      <c r="B1" s="3" t="s">
        <v>0</v>
      </c>
      <c r="C1" s="3" t="s">
        <v>5</v>
      </c>
      <c r="D1" s="3" t="s">
        <v>7</v>
      </c>
      <c r="E1" s="3" t="s">
        <v>221</v>
      </c>
      <c r="F1" s="3" t="s">
        <v>222</v>
      </c>
      <c r="G1" s="3" t="s">
        <v>223</v>
      </c>
      <c r="H1" s="3" t="s">
        <v>128</v>
      </c>
      <c r="I1" s="3" t="s">
        <v>224</v>
      </c>
      <c r="J1" s="3" t="s">
        <v>225</v>
      </c>
      <c r="K1" s="3" t="s">
        <v>1</v>
      </c>
      <c r="L1" s="3" t="s">
        <v>168</v>
      </c>
      <c r="M1" s="3" t="s">
        <v>13</v>
      </c>
      <c r="N1" s="3" t="s">
        <v>249</v>
      </c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47">
        <f>IFERROR(__xludf.DUMMYFUNCTION("IFERROR(FILTER('📊 SALES'!A2:M1000, '📊 SALES'!A2:A1000 &lt;&gt; """"), ""⚠️ No sales data yet. Add sales in the 📊 SALES sheet."")"),46184.0)</f>
        <v>46184</v>
      </c>
      <c r="B2" s="7" t="str">
        <f>IFERROR(__xludf.DUMMYFUNCTION("""COMPUTED_VALUE"""),"P003")</f>
        <v>P003</v>
      </c>
      <c r="C2" s="7" t="str">
        <f>IFERROR(__xludf.DUMMYFUNCTION("""COMPUTED_VALUE"""),"Kavera 40g")</f>
        <v>Kavera 40g</v>
      </c>
      <c r="D2" s="7" t="str">
        <f>IFERROR(__xludf.DUMMYFUNCTION("""COMPUTED_VALUE"""),"Kavera")</f>
        <v>Kavera</v>
      </c>
      <c r="E2" s="7">
        <f>IFERROR(__xludf.DUMMYFUNCTION("""COMPUTED_VALUE"""),126.0)</f>
        <v>126</v>
      </c>
      <c r="F2" s="7">
        <f>IFERROR(__xludf.DUMMYFUNCTION("""COMPUTED_VALUE"""),1000.0)</f>
        <v>1000</v>
      </c>
      <c r="G2" s="7">
        <f>IFERROR(__xludf.DUMMYFUNCTION("""COMPUTED_VALUE"""),126000.0)</f>
        <v>126000</v>
      </c>
      <c r="H2" s="7" t="str">
        <f>IFERROR(__xludf.DUMMYFUNCTION("""COMPUTED_VALUE"""),"Paid")</f>
        <v>Paid</v>
      </c>
      <c r="I2" s="7"/>
      <c r="J2" s="7"/>
      <c r="K2" s="7"/>
      <c r="L2" s="7" t="str">
        <f>IFERROR(__xludf.DUMMYFUNCTION("""COMPUTED_VALUE"""),"Cash")</f>
        <v>Cash</v>
      </c>
      <c r="M2" s="7"/>
      <c r="N2" s="7">
        <f t="array" ref="N2">IFERROR(E2 * INDEX('📊 COGS'!B:B, O2), 0)</f>
        <v>83160</v>
      </c>
      <c r="O2" s="7">
        <f>MATCH(TRIM(C2), '📊 COGS'!A:A, 0)</f>
        <v>4</v>
      </c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47">
        <f>IFERROR(__xludf.DUMMYFUNCTION("""COMPUTED_VALUE"""),46184.0)</f>
        <v>46184</v>
      </c>
      <c r="B3" s="7" t="str">
        <f>IFERROR(__xludf.DUMMYFUNCTION("""COMPUTED_VALUE"""),"P004")</f>
        <v>P004</v>
      </c>
      <c r="C3" s="7" t="str">
        <f>IFERROR(__xludf.DUMMYFUNCTION("""COMPUTED_VALUE"""),"Baby Tin 18g")</f>
        <v>Baby Tin 18g</v>
      </c>
      <c r="D3" s="7" t="str">
        <f>IFERROR(__xludf.DUMMYFUNCTION("""COMPUTED_VALUE"""),"Baby Tin")</f>
        <v>Baby Tin</v>
      </c>
      <c r="E3" s="7">
        <f>IFERROR(__xludf.DUMMYFUNCTION("""COMPUTED_VALUE"""),18.0)</f>
        <v>18</v>
      </c>
      <c r="F3" s="7">
        <f>IFERROR(__xludf.DUMMYFUNCTION("""COMPUTED_VALUE"""),2000.0)</f>
        <v>2000</v>
      </c>
      <c r="G3" s="7">
        <f>IFERROR(__xludf.DUMMYFUNCTION("""COMPUTED_VALUE"""),36000.0)</f>
        <v>36000</v>
      </c>
      <c r="H3" s="7" t="str">
        <f>IFERROR(__xludf.DUMMYFUNCTION("""COMPUTED_VALUE"""),"Paid")</f>
        <v>Paid</v>
      </c>
      <c r="I3" s="7"/>
      <c r="J3" s="7"/>
      <c r="K3" s="7"/>
      <c r="L3" s="7" t="str">
        <f>IFERROR(__xludf.DUMMYFUNCTION("""COMPUTED_VALUE"""),"Cash")</f>
        <v>Cash</v>
      </c>
      <c r="M3" s="7"/>
      <c r="N3" s="7">
        <f t="array" ref="N3">IFERROR(E3 * INDEX('📊 COGS'!B:B, O3), 0)</f>
        <v>19260</v>
      </c>
      <c r="O3" s="7">
        <f>MATCH(TRIM(C3), '📊 COGS'!A:A, 0)</f>
        <v>5</v>
      </c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47">
        <f>IFERROR(__xludf.DUMMYFUNCTION("""COMPUTED_VALUE"""),46185.0)</f>
        <v>46185</v>
      </c>
      <c r="B4" s="7" t="str">
        <f>IFERROR(__xludf.DUMMYFUNCTION("""COMPUTED_VALUE"""),"P007")</f>
        <v>P007</v>
      </c>
      <c r="C4" s="7" t="str">
        <f>IFERROR(__xludf.DUMMYFUNCTION("""COMPUTED_VALUE"""),"Black Pack 100g")</f>
        <v>Black Pack 100g</v>
      </c>
      <c r="D4" s="7" t="str">
        <f>IFERROR(__xludf.DUMMYFUNCTION("""COMPUTED_VALUE"""),"Black Pack Small")</f>
        <v>Black Pack Small</v>
      </c>
      <c r="E4" s="7">
        <f>IFERROR(__xludf.DUMMYFUNCTION("""COMPUTED_VALUE"""),18.0)</f>
        <v>18</v>
      </c>
      <c r="F4" s="7">
        <f>IFERROR(__xludf.DUMMYFUNCTION("""COMPUTED_VALUE"""),10000.0)</f>
        <v>10000</v>
      </c>
      <c r="G4" s="7">
        <f>IFERROR(__xludf.DUMMYFUNCTION("""COMPUTED_VALUE"""),180000.0)</f>
        <v>180000</v>
      </c>
      <c r="H4" s="7" t="str">
        <f>IFERROR(__xludf.DUMMYFUNCTION("""COMPUTED_VALUE"""),"Paid")</f>
        <v>Paid</v>
      </c>
      <c r="I4" s="7"/>
      <c r="J4" s="7"/>
      <c r="K4" s="7"/>
      <c r="L4" s="7" t="str">
        <f>IFERROR(__xludf.DUMMYFUNCTION("""COMPUTED_VALUE"""),"Cash")</f>
        <v>Cash</v>
      </c>
      <c r="M4" s="7"/>
      <c r="N4" s="7">
        <f t="array" ref="N4">IFERROR(E4 * INDEX('📊 COGS'!B:B, O4), 0)</f>
        <v>67200</v>
      </c>
      <c r="O4" s="7">
        <f>MATCH(TRIM(C4), '📊 COGS'!A:A, 0)</f>
        <v>8</v>
      </c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47">
        <f>IFERROR(__xludf.DUMMYFUNCTION("""COMPUTED_VALUE"""),46185.0)</f>
        <v>46185</v>
      </c>
      <c r="B5" s="7" t="str">
        <f>IFERROR(__xludf.DUMMYFUNCTION("""COMPUTED_VALUE"""),"P001")</f>
        <v>P001</v>
      </c>
      <c r="C5" s="7" t="str">
        <f>IFERROR(__xludf.DUMMYFUNCTION("""COMPUTED_VALUE"""),"Kavera 15g")</f>
        <v>Kavera 15g</v>
      </c>
      <c r="D5" s="7" t="str">
        <f>IFERROR(__xludf.DUMMYFUNCTION("""COMPUTED_VALUE"""),"Kavera")</f>
        <v>Kavera</v>
      </c>
      <c r="E5" s="7">
        <f>IFERROR(__xludf.DUMMYFUNCTION("""COMPUTED_VALUE"""),15.0)</f>
        <v>15</v>
      </c>
      <c r="F5" s="7">
        <f>IFERROR(__xludf.DUMMYFUNCTION("""COMPUTED_VALUE"""),500.0)</f>
        <v>500</v>
      </c>
      <c r="G5" s="7">
        <f>IFERROR(__xludf.DUMMYFUNCTION("""COMPUTED_VALUE"""),7500.0)</f>
        <v>7500</v>
      </c>
      <c r="H5" s="7" t="str">
        <f>IFERROR(__xludf.DUMMYFUNCTION("""COMPUTED_VALUE"""),"Paid")</f>
        <v>Paid</v>
      </c>
      <c r="I5" s="7"/>
      <c r="J5" s="7"/>
      <c r="K5" s="7"/>
      <c r="L5" s="7" t="str">
        <f>IFERROR(__xludf.DUMMYFUNCTION("""COMPUTED_VALUE"""),"Cash")</f>
        <v>Cash</v>
      </c>
      <c r="M5" s="7"/>
      <c r="N5" s="7">
        <f t="array" ref="N5">IFERROR(E5 * INDEX('📊 COGS'!B:B, O5), 0)</f>
        <v>4950</v>
      </c>
      <c r="O5" s="7">
        <f>MATCH(TRIM(C5), '📊 COGS'!A:A, 0)</f>
        <v>2</v>
      </c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47">
        <f>IFERROR(__xludf.DUMMYFUNCTION("""COMPUTED_VALUE"""),46185.0)</f>
        <v>46185</v>
      </c>
      <c r="B6" s="7" t="str">
        <f>IFERROR(__xludf.DUMMYFUNCTION("""COMPUTED_VALUE"""),"P007")</f>
        <v>P007</v>
      </c>
      <c r="C6" s="7" t="str">
        <f>IFERROR(__xludf.DUMMYFUNCTION("""COMPUTED_VALUE"""),"Black Pack 100g")</f>
        <v>Black Pack 100g</v>
      </c>
      <c r="D6" s="7" t="str">
        <f>IFERROR(__xludf.DUMMYFUNCTION("""COMPUTED_VALUE"""),"Black Pack Small")</f>
        <v>Black Pack Small</v>
      </c>
      <c r="E6" s="7">
        <f>IFERROR(__xludf.DUMMYFUNCTION("""COMPUTED_VALUE"""),6.0)</f>
        <v>6</v>
      </c>
      <c r="F6" s="7">
        <f>IFERROR(__xludf.DUMMYFUNCTION("""COMPUTED_VALUE"""),10000.0)</f>
        <v>10000</v>
      </c>
      <c r="G6" s="7">
        <f>IFERROR(__xludf.DUMMYFUNCTION("""COMPUTED_VALUE"""),60000.0)</f>
        <v>60000</v>
      </c>
      <c r="H6" s="7" t="str">
        <f>IFERROR(__xludf.DUMMYFUNCTION("""COMPUTED_VALUE"""),"Paid")</f>
        <v>Paid</v>
      </c>
      <c r="I6" s="7"/>
      <c r="J6" s="7"/>
      <c r="K6" s="7"/>
      <c r="L6" s="7" t="str">
        <f>IFERROR(__xludf.DUMMYFUNCTION("""COMPUTED_VALUE"""),"Cash")</f>
        <v>Cash</v>
      </c>
      <c r="M6" s="7"/>
      <c r="N6" s="7">
        <f t="array" ref="N6">IFERROR(E6 * INDEX('📊 COGS'!B:B, O6), 0)</f>
        <v>22400</v>
      </c>
      <c r="O6" s="7">
        <f>MATCH(TRIM(C6), '📊 COGS'!A:A, 0)</f>
        <v>8</v>
      </c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47">
        <f>IFERROR(__xludf.DUMMYFUNCTION("""COMPUTED_VALUE"""),46205.0)</f>
        <v>46205</v>
      </c>
      <c r="B7" s="7" t="str">
        <f>IFERROR(__xludf.DUMMYFUNCTION("""COMPUTED_VALUE"""),"P002")</f>
        <v>P002</v>
      </c>
      <c r="C7" s="7" t="str">
        <f>IFERROR(__xludf.DUMMYFUNCTION("""COMPUTED_VALUE"""),"Kavera 25g")</f>
        <v>Kavera 25g</v>
      </c>
      <c r="D7" s="7" t="str">
        <f>IFERROR(__xludf.DUMMYFUNCTION("""COMPUTED_VALUE"""),"Kavera")</f>
        <v>Kavera</v>
      </c>
      <c r="E7" s="7">
        <f>IFERROR(__xludf.DUMMYFUNCTION("""COMPUTED_VALUE"""),160.0)</f>
        <v>160</v>
      </c>
      <c r="F7" s="7">
        <f>IFERROR(__xludf.DUMMYFUNCTION("""COMPUTED_VALUE"""),1000.0)</f>
        <v>1000</v>
      </c>
      <c r="G7" s="7">
        <f>IFERROR(__xludf.DUMMYFUNCTION("""COMPUTED_VALUE"""),160000.0)</f>
        <v>160000</v>
      </c>
      <c r="H7" s="7" t="str">
        <f>IFERROR(__xludf.DUMMYFUNCTION("""COMPUTED_VALUE"""),"Paid")</f>
        <v>Paid</v>
      </c>
      <c r="I7" s="7"/>
      <c r="J7" s="7"/>
      <c r="K7" s="7"/>
      <c r="L7" s="7" t="str">
        <f>IFERROR(__xludf.DUMMYFUNCTION("""COMPUTED_VALUE"""),"Cash")</f>
        <v>Cash</v>
      </c>
      <c r="M7" s="7"/>
      <c r="N7" s="7">
        <f t="array" ref="N7">IFERROR(E7 * INDEX('📊 COGS'!B:B, O7), 0)</f>
        <v>75200</v>
      </c>
      <c r="O7" s="7">
        <f>MATCH(TRIM(C7), '📊 COGS'!A:A, 0)</f>
        <v>3</v>
      </c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47">
        <f>IFERROR(__xludf.DUMMYFUNCTION("""COMPUTED_VALUE"""),46207.0)</f>
        <v>46207</v>
      </c>
      <c r="B8" s="7" t="str">
        <f>IFERROR(__xludf.DUMMYFUNCTION("""COMPUTED_VALUE"""),"P007")</f>
        <v>P007</v>
      </c>
      <c r="C8" s="7" t="str">
        <f>IFERROR(__xludf.DUMMYFUNCTION("""COMPUTED_VALUE"""),"Black Pack 100g")</f>
        <v>Black Pack 100g</v>
      </c>
      <c r="D8" s="7" t="str">
        <f>IFERROR(__xludf.DUMMYFUNCTION("""COMPUTED_VALUE"""),"Black Pack Small")</f>
        <v>Black Pack Small</v>
      </c>
      <c r="E8" s="7">
        <f>IFERROR(__xludf.DUMMYFUNCTION("""COMPUTED_VALUE"""),1.0)</f>
        <v>1</v>
      </c>
      <c r="F8" s="7">
        <f>IFERROR(__xludf.DUMMYFUNCTION("""COMPUTED_VALUE"""),10000.0)</f>
        <v>10000</v>
      </c>
      <c r="G8" s="7">
        <f>IFERROR(__xludf.DUMMYFUNCTION("""COMPUTED_VALUE"""),10000.0)</f>
        <v>10000</v>
      </c>
      <c r="H8" s="7" t="str">
        <f>IFERROR(__xludf.DUMMYFUNCTION("""COMPUTED_VALUE"""),"Paid")</f>
        <v>Paid</v>
      </c>
      <c r="I8" s="7"/>
      <c r="J8" s="7"/>
      <c r="K8" s="7"/>
      <c r="L8" s="7" t="str">
        <f>IFERROR(__xludf.DUMMYFUNCTION("""COMPUTED_VALUE"""),"Cash")</f>
        <v>Cash</v>
      </c>
      <c r="M8" s="7"/>
      <c r="N8" s="7">
        <f t="array" ref="N8">IFERROR(E8 * INDEX('📊 COGS'!B:B, O8), 0)</f>
        <v>3733.333333</v>
      </c>
      <c r="O8" s="7">
        <f>MATCH(TRIM(C8), '📊 COGS'!A:A, 0)</f>
        <v>8</v>
      </c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47">
        <f>IFERROR(__xludf.DUMMYFUNCTION("""COMPUTED_VALUE"""),46207.0)</f>
        <v>46207</v>
      </c>
      <c r="B9" s="7" t="str">
        <f>IFERROR(__xludf.DUMMYFUNCTION("""COMPUTED_VALUE"""),"P004")</f>
        <v>P004</v>
      </c>
      <c r="C9" s="7" t="str">
        <f>IFERROR(__xludf.DUMMYFUNCTION("""COMPUTED_VALUE"""),"Baby Tin 18g")</f>
        <v>Baby Tin 18g</v>
      </c>
      <c r="D9" s="7" t="str">
        <f>IFERROR(__xludf.DUMMYFUNCTION("""COMPUTED_VALUE"""),"Baby Tin")</f>
        <v>Baby Tin</v>
      </c>
      <c r="E9" s="7">
        <f>IFERROR(__xludf.DUMMYFUNCTION("""COMPUTED_VALUE"""),167.0)</f>
        <v>167</v>
      </c>
      <c r="F9" s="7">
        <f>IFERROR(__xludf.DUMMYFUNCTION("""COMPUTED_VALUE"""),2000.0)</f>
        <v>2000</v>
      </c>
      <c r="G9" s="7">
        <f>IFERROR(__xludf.DUMMYFUNCTION("""COMPUTED_VALUE"""),334000.0)</f>
        <v>334000</v>
      </c>
      <c r="H9" s="7" t="str">
        <f>IFERROR(__xludf.DUMMYFUNCTION("""COMPUTED_VALUE"""),"Paid")</f>
        <v>Paid</v>
      </c>
      <c r="I9" s="7"/>
      <c r="J9" s="7"/>
      <c r="K9" s="7"/>
      <c r="L9" s="7" t="str">
        <f>IFERROR(__xludf.DUMMYFUNCTION("""COMPUTED_VALUE"""),"Cash")</f>
        <v>Cash</v>
      </c>
      <c r="M9" s="7"/>
      <c r="N9" s="7">
        <f t="array" ref="N9">IFERROR(E9 * INDEX('📊 COGS'!B:B, O9), 0)</f>
        <v>178690</v>
      </c>
      <c r="O9" s="7">
        <f>MATCH(TRIM(C9), '📊 COGS'!A:A, 0)</f>
        <v>5</v>
      </c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47">
        <f>IFERROR(__xludf.DUMMYFUNCTION("""COMPUTED_VALUE"""),46235.0)</f>
        <v>46235</v>
      </c>
      <c r="B10" s="7" t="str">
        <f>IFERROR(__xludf.DUMMYFUNCTION("""COMPUTED_VALUE"""),"P009")</f>
        <v>P009</v>
      </c>
      <c r="C10" s="7" t="str">
        <f>IFERROR(__xludf.DUMMYFUNCTION("""COMPUTED_VALUE"""),"Quail Eggs 18s")</f>
        <v>Quail Eggs 18s</v>
      </c>
      <c r="D10" s="7" t="str">
        <f>IFERROR(__xludf.DUMMYFUNCTION("""COMPUTED_VALUE"""),"Eggs")</f>
        <v>Eggs</v>
      </c>
      <c r="E10" s="7">
        <f>IFERROR(__xludf.DUMMYFUNCTION("""COMPUTED_VALUE"""),8.0)</f>
        <v>8</v>
      </c>
      <c r="F10" s="7">
        <f>IFERROR(__xludf.DUMMYFUNCTION("""COMPUTED_VALUE"""),8000.0)</f>
        <v>8000</v>
      </c>
      <c r="G10" s="7">
        <f>IFERROR(__xludf.DUMMYFUNCTION("""COMPUTED_VALUE"""),64000.0)</f>
        <v>64000</v>
      </c>
      <c r="H10" s="7" t="str">
        <f>IFERROR(__xludf.DUMMYFUNCTION("""COMPUTED_VALUE"""),"Partial")</f>
        <v>Partial</v>
      </c>
      <c r="I10" s="7"/>
      <c r="J10" s="7"/>
      <c r="K10" s="7"/>
      <c r="L10" s="7" t="str">
        <f>IFERROR(__xludf.DUMMYFUNCTION("""COMPUTED_VALUE"""),"Cash")</f>
        <v>Cash</v>
      </c>
      <c r="M10" s="7" t="str">
        <f>IFERROR(__xludf.DUMMYFUNCTION("""COMPUTED_VALUE"""),"2trays in debt")</f>
        <v>2trays in debt</v>
      </c>
      <c r="N10" s="7">
        <f t="array" ref="N10">IFERROR(E10 * INDEX('📊 COGS'!B:B, O10), 0)</f>
        <v>40000</v>
      </c>
      <c r="O10" s="7">
        <f>MATCH(TRIM(C10), '📊 COGS'!A:A, 0)</f>
        <v>10</v>
      </c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47">
        <f>IFERROR(__xludf.DUMMYFUNCTION("""COMPUTED_VALUE"""),46235.0)</f>
        <v>46235</v>
      </c>
      <c r="B11" s="7" t="str">
        <f>IFERROR(__xludf.DUMMYFUNCTION("""COMPUTED_VALUE"""),"P006")</f>
        <v>P006</v>
      </c>
      <c r="C11" s="7" t="str">
        <f>IFERROR(__xludf.DUMMYFUNCTION("""COMPUTED_VALUE"""),"Spiced 50g")</f>
        <v>Spiced 50g</v>
      </c>
      <c r="D11" s="7" t="str">
        <f>IFERROR(__xludf.DUMMYFUNCTION("""COMPUTED_VALUE"""),"Spiced")</f>
        <v>Spiced</v>
      </c>
      <c r="E11" s="7">
        <f>IFERROR(__xludf.DUMMYFUNCTION("""COMPUTED_VALUE"""),8.0)</f>
        <v>8</v>
      </c>
      <c r="F11" s="7">
        <f>IFERROR(__xludf.DUMMYFUNCTION("""COMPUTED_VALUE"""),5000.0)</f>
        <v>5000</v>
      </c>
      <c r="G11" s="7">
        <f>IFERROR(__xludf.DUMMYFUNCTION("""COMPUTED_VALUE"""),40000.0)</f>
        <v>40000</v>
      </c>
      <c r="H11" s="7" t="str">
        <f>IFERROR(__xludf.DUMMYFUNCTION("""COMPUTED_VALUE"""),"Paid")</f>
        <v>Paid</v>
      </c>
      <c r="I11" s="7"/>
      <c r="J11" s="7"/>
      <c r="K11" s="7"/>
      <c r="L11" s="7" t="str">
        <f>IFERROR(__xludf.DUMMYFUNCTION("""COMPUTED_VALUE"""),"Cash")</f>
        <v>Cash</v>
      </c>
      <c r="M11" s="7"/>
      <c r="N11" s="7">
        <f t="array" ref="N11">IFERROR(E11 * INDEX('📊 COGS'!B:B, O11), 0)</f>
        <v>0</v>
      </c>
      <c r="O11" s="7" t="str">
        <f>MATCH(TRIM(C11), '📊 COGS'!A:A, 0)</f>
        <v>#N/A</v>
      </c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47">
        <f>IFERROR(__xludf.DUMMYFUNCTION("""COMPUTED_VALUE"""),46235.0)</f>
        <v>46235</v>
      </c>
      <c r="B12" s="7" t="str">
        <f>IFERROR(__xludf.DUMMYFUNCTION("""COMPUTED_VALUE"""),"P007")</f>
        <v>P007</v>
      </c>
      <c r="C12" s="7" t="str">
        <f>IFERROR(__xludf.DUMMYFUNCTION("""COMPUTED_VALUE"""),"Black Pack 100g")</f>
        <v>Black Pack 100g</v>
      </c>
      <c r="D12" s="7" t="str">
        <f>IFERROR(__xludf.DUMMYFUNCTION("""COMPUTED_VALUE"""),"Black Pack Small")</f>
        <v>Black Pack Small</v>
      </c>
      <c r="E12" s="7">
        <f>IFERROR(__xludf.DUMMYFUNCTION("""COMPUTED_VALUE"""),6.0)</f>
        <v>6</v>
      </c>
      <c r="F12" s="7">
        <f>IFERROR(__xludf.DUMMYFUNCTION("""COMPUTED_VALUE"""),10000.0)</f>
        <v>10000</v>
      </c>
      <c r="G12" s="7">
        <f>IFERROR(__xludf.DUMMYFUNCTION("""COMPUTED_VALUE"""),60000.0)</f>
        <v>60000</v>
      </c>
      <c r="H12" s="7" t="str">
        <f>IFERROR(__xludf.DUMMYFUNCTION("""COMPUTED_VALUE"""),"Paid")</f>
        <v>Paid</v>
      </c>
      <c r="I12" s="7"/>
      <c r="J12" s="7"/>
      <c r="K12" s="7"/>
      <c r="L12" s="7" t="str">
        <f>IFERROR(__xludf.DUMMYFUNCTION("""COMPUTED_VALUE"""),"Cash")</f>
        <v>Cash</v>
      </c>
      <c r="M12" s="7"/>
      <c r="N12" s="7">
        <f t="array" ref="N12">IFERROR(E12 * INDEX('📊 COGS'!B:B, O12), 0)</f>
        <v>22400</v>
      </c>
      <c r="O12" s="7">
        <f>MATCH(TRIM(C12), '📊 COGS'!A:A, 0)</f>
        <v>8</v>
      </c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47">
        <f>IFERROR(__xludf.DUMMYFUNCTION("""COMPUTED_VALUE"""),46235.0)</f>
        <v>46235</v>
      </c>
      <c r="B13" s="7" t="str">
        <f>IFERROR(__xludf.DUMMYFUNCTION("""COMPUTED_VALUE"""),"P004")</f>
        <v>P004</v>
      </c>
      <c r="C13" s="7" t="str">
        <f>IFERROR(__xludf.DUMMYFUNCTION("""COMPUTED_VALUE"""),"Baby Tin 18g")</f>
        <v>Baby Tin 18g</v>
      </c>
      <c r="D13" s="7" t="str">
        <f>IFERROR(__xludf.DUMMYFUNCTION("""COMPUTED_VALUE"""),"Baby Tin")</f>
        <v>Baby Tin</v>
      </c>
      <c r="E13" s="7">
        <f>IFERROR(__xludf.DUMMYFUNCTION("""COMPUTED_VALUE"""),5.0)</f>
        <v>5</v>
      </c>
      <c r="F13" s="7">
        <f>IFERROR(__xludf.DUMMYFUNCTION("""COMPUTED_VALUE"""),2000.0)</f>
        <v>2000</v>
      </c>
      <c r="G13" s="7">
        <f>IFERROR(__xludf.DUMMYFUNCTION("""COMPUTED_VALUE"""),10000.0)</f>
        <v>10000</v>
      </c>
      <c r="H13" s="7" t="str">
        <f>IFERROR(__xludf.DUMMYFUNCTION("""COMPUTED_VALUE"""),"Paid")</f>
        <v>Paid</v>
      </c>
      <c r="I13" s="7"/>
      <c r="J13" s="7"/>
      <c r="K13" s="7"/>
      <c r="L13" s="7" t="str">
        <f>IFERROR(__xludf.DUMMYFUNCTION("""COMPUTED_VALUE"""),"Cash")</f>
        <v>Cash</v>
      </c>
      <c r="M13" s="7"/>
      <c r="N13" s="7">
        <f t="array" ref="N13">IFERROR(E13 * INDEX('📊 COGS'!B:B, O13), 0)</f>
        <v>5350</v>
      </c>
      <c r="O13" s="7">
        <f>MATCH(TRIM(C13), '📊 COGS'!A:A, 0)</f>
        <v>5</v>
      </c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47">
        <f>IFERROR(__xludf.DUMMYFUNCTION("""COMPUTED_VALUE"""),46240.0)</f>
        <v>46240</v>
      </c>
      <c r="B14" s="7" t="str">
        <f>IFERROR(__xludf.DUMMYFUNCTION("""COMPUTED_VALUE"""),"P006")</f>
        <v>P006</v>
      </c>
      <c r="C14" s="7" t="str">
        <f>IFERROR(__xludf.DUMMYFUNCTION("""COMPUTED_VALUE"""),"Spiced 50g")</f>
        <v>Spiced 50g</v>
      </c>
      <c r="D14" s="7" t="str">
        <f>IFERROR(__xludf.DUMMYFUNCTION("""COMPUTED_VALUE"""),"Spiced")</f>
        <v>Spiced</v>
      </c>
      <c r="E14" s="7">
        <f>IFERROR(__xludf.DUMMYFUNCTION("""COMPUTED_VALUE"""),9.0)</f>
        <v>9</v>
      </c>
      <c r="F14" s="7">
        <f>IFERROR(__xludf.DUMMYFUNCTION("""COMPUTED_VALUE"""),5000.0)</f>
        <v>5000</v>
      </c>
      <c r="G14" s="7">
        <f>IFERROR(__xludf.DUMMYFUNCTION("""COMPUTED_VALUE"""),45000.0)</f>
        <v>45000</v>
      </c>
      <c r="H14" s="7" t="str">
        <f>IFERROR(__xludf.DUMMYFUNCTION("""COMPUTED_VALUE"""),"Paid")</f>
        <v>Paid</v>
      </c>
      <c r="I14" s="7"/>
      <c r="J14" s="7"/>
      <c r="K14" s="7"/>
      <c r="L14" s="7" t="str">
        <f>IFERROR(__xludf.DUMMYFUNCTION("""COMPUTED_VALUE"""),"Cash")</f>
        <v>Cash</v>
      </c>
      <c r="M14" s="7"/>
      <c r="N14" s="7">
        <f t="array" ref="N14">IFERROR(E14 * INDEX('📊 COGS'!B:B, O14), 0)</f>
        <v>0</v>
      </c>
      <c r="O14" s="7" t="str">
        <f>MATCH(TRIM(C14), '📊 COGS'!A:A, 0)</f>
        <v>#N/A</v>
      </c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47">
        <f>IFERROR(__xludf.DUMMYFUNCTION("""COMPUTED_VALUE"""),46240.0)</f>
        <v>46240</v>
      </c>
      <c r="B15" s="7" t="str">
        <f>IFERROR(__xludf.DUMMYFUNCTION("""COMPUTED_VALUE"""),"P009")</f>
        <v>P009</v>
      </c>
      <c r="C15" s="7" t="str">
        <f>IFERROR(__xludf.DUMMYFUNCTION("""COMPUTED_VALUE"""),"Quail Eggs 18s")</f>
        <v>Quail Eggs 18s</v>
      </c>
      <c r="D15" s="7" t="str">
        <f>IFERROR(__xludf.DUMMYFUNCTION("""COMPUTED_VALUE"""),"Eggs")</f>
        <v>Eggs</v>
      </c>
      <c r="E15" s="7">
        <f>IFERROR(__xludf.DUMMYFUNCTION("""COMPUTED_VALUE"""),2.0)</f>
        <v>2</v>
      </c>
      <c r="F15" s="7">
        <f>IFERROR(__xludf.DUMMYFUNCTION("""COMPUTED_VALUE"""),8000.0)</f>
        <v>8000</v>
      </c>
      <c r="G15" s="7">
        <f>IFERROR(__xludf.DUMMYFUNCTION("""COMPUTED_VALUE"""),16000.0)</f>
        <v>16000</v>
      </c>
      <c r="H15" s="7" t="str">
        <f>IFERROR(__xludf.DUMMYFUNCTION("""COMPUTED_VALUE"""),"Paid")</f>
        <v>Paid</v>
      </c>
      <c r="I15" s="7"/>
      <c r="J15" s="7"/>
      <c r="K15" s="7"/>
      <c r="L15" s="7" t="str">
        <f>IFERROR(__xludf.DUMMYFUNCTION("""COMPUTED_VALUE"""),"Cash")</f>
        <v>Cash</v>
      </c>
      <c r="M15" s="7"/>
      <c r="N15" s="7">
        <f t="array" ref="N15">IFERROR(E15 * INDEX('📊 COGS'!B:B, O15), 0)</f>
        <v>10000</v>
      </c>
      <c r="O15" s="7">
        <f>MATCH(TRIM(C15), '📊 COGS'!A:A, 0)</f>
        <v>10</v>
      </c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47">
        <f>IFERROR(__xludf.DUMMYFUNCTION("""COMPUTED_VALUE"""),46240.0)</f>
        <v>46240</v>
      </c>
      <c r="B16" s="7" t="str">
        <f>IFERROR(__xludf.DUMMYFUNCTION("""COMPUTED_VALUE"""),"P004")</f>
        <v>P004</v>
      </c>
      <c r="C16" s="7" t="str">
        <f>IFERROR(__xludf.DUMMYFUNCTION("""COMPUTED_VALUE"""),"Baby Tin 18g")</f>
        <v>Baby Tin 18g</v>
      </c>
      <c r="D16" s="7" t="str">
        <f>IFERROR(__xludf.DUMMYFUNCTION("""COMPUTED_VALUE"""),"Baby Tin")</f>
        <v>Baby Tin</v>
      </c>
      <c r="E16" s="7">
        <f>IFERROR(__xludf.DUMMYFUNCTION("""COMPUTED_VALUE"""),7.0)</f>
        <v>7</v>
      </c>
      <c r="F16" s="7">
        <f>IFERROR(__xludf.DUMMYFUNCTION("""COMPUTED_VALUE"""),2000.0)</f>
        <v>2000</v>
      </c>
      <c r="G16" s="7">
        <f>IFERROR(__xludf.DUMMYFUNCTION("""COMPUTED_VALUE"""),14000.0)</f>
        <v>14000</v>
      </c>
      <c r="H16" s="7" t="str">
        <f>IFERROR(__xludf.DUMMYFUNCTION("""COMPUTED_VALUE"""),"Paid")</f>
        <v>Paid</v>
      </c>
      <c r="I16" s="7"/>
      <c r="J16" s="7"/>
      <c r="K16" s="7"/>
      <c r="L16" s="7" t="str">
        <f>IFERROR(__xludf.DUMMYFUNCTION("""COMPUTED_VALUE"""),"Cash")</f>
        <v>Cash</v>
      </c>
      <c r="M16" s="7"/>
      <c r="N16" s="7">
        <f t="array" ref="N16">IFERROR(E16 * INDEX('📊 COGS'!B:B, O16), 0)</f>
        <v>7490</v>
      </c>
      <c r="O16" s="7">
        <f>MATCH(TRIM(C16), '📊 COGS'!A:A, 0)</f>
        <v>5</v>
      </c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47">
        <f>IFERROR(__xludf.DUMMYFUNCTION("""COMPUTED_VALUE"""),46242.0)</f>
        <v>46242</v>
      </c>
      <c r="B17" s="7" t="str">
        <f>IFERROR(__xludf.DUMMYFUNCTION("""COMPUTED_VALUE"""),"P006")</f>
        <v>P006</v>
      </c>
      <c r="C17" s="7" t="str">
        <f>IFERROR(__xludf.DUMMYFUNCTION("""COMPUTED_VALUE"""),"Spiced 50g")</f>
        <v>Spiced 50g</v>
      </c>
      <c r="D17" s="7" t="str">
        <f>IFERROR(__xludf.DUMMYFUNCTION("""COMPUTED_VALUE"""),"Spiced")</f>
        <v>Spiced</v>
      </c>
      <c r="E17" s="7">
        <f>IFERROR(__xludf.DUMMYFUNCTION("""COMPUTED_VALUE"""),3.0)</f>
        <v>3</v>
      </c>
      <c r="F17" s="7">
        <f>IFERROR(__xludf.DUMMYFUNCTION("""COMPUTED_VALUE"""),5000.0)</f>
        <v>5000</v>
      </c>
      <c r="G17" s="7">
        <f>IFERROR(__xludf.DUMMYFUNCTION("""COMPUTED_VALUE"""),15000.0)</f>
        <v>15000</v>
      </c>
      <c r="H17" s="7" t="str">
        <f>IFERROR(__xludf.DUMMYFUNCTION("""COMPUTED_VALUE"""),"Paid")</f>
        <v>Paid</v>
      </c>
      <c r="I17" s="7"/>
      <c r="J17" s="7"/>
      <c r="K17" s="7"/>
      <c r="L17" s="7" t="str">
        <f>IFERROR(__xludf.DUMMYFUNCTION("""COMPUTED_VALUE"""),"Cash")</f>
        <v>Cash</v>
      </c>
      <c r="M17" s="7"/>
      <c r="N17" s="7">
        <f t="array" ref="N17">IFERROR(E17 * INDEX('📊 COGS'!B:B, O17), 0)</f>
        <v>0</v>
      </c>
      <c r="O17" s="7" t="str">
        <f>MATCH(TRIM(C17), '📊 COGS'!A:A, 0)</f>
        <v>#N/A</v>
      </c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47">
        <f>IFERROR(__xludf.DUMMYFUNCTION("""COMPUTED_VALUE"""),46244.0)</f>
        <v>46244</v>
      </c>
      <c r="B18" s="7" t="str">
        <f>IFERROR(__xludf.DUMMYFUNCTION("""COMPUTED_VALUE"""),"P006")</f>
        <v>P006</v>
      </c>
      <c r="C18" s="7" t="str">
        <f>IFERROR(__xludf.DUMMYFUNCTION("""COMPUTED_VALUE"""),"Spiced 50g")</f>
        <v>Spiced 50g</v>
      </c>
      <c r="D18" s="7" t="str">
        <f>IFERROR(__xludf.DUMMYFUNCTION("""COMPUTED_VALUE"""),"Spiced")</f>
        <v>Spiced</v>
      </c>
      <c r="E18" s="7">
        <f>IFERROR(__xludf.DUMMYFUNCTION("""COMPUTED_VALUE"""),4.0)</f>
        <v>4</v>
      </c>
      <c r="F18" s="7">
        <f>IFERROR(__xludf.DUMMYFUNCTION("""COMPUTED_VALUE"""),5000.0)</f>
        <v>5000</v>
      </c>
      <c r="G18" s="7">
        <f>IFERROR(__xludf.DUMMYFUNCTION("""COMPUTED_VALUE"""),20000.0)</f>
        <v>20000</v>
      </c>
      <c r="H18" s="7" t="str">
        <f>IFERROR(__xludf.DUMMYFUNCTION("""COMPUTED_VALUE"""),"Paid")</f>
        <v>Paid</v>
      </c>
      <c r="I18" s="7"/>
      <c r="J18" s="7"/>
      <c r="K18" s="7"/>
      <c r="L18" s="7" t="str">
        <f>IFERROR(__xludf.DUMMYFUNCTION("""COMPUTED_VALUE"""),"Cash")</f>
        <v>Cash</v>
      </c>
      <c r="M18" s="7"/>
      <c r="N18" s="7">
        <f t="array" ref="N18">IFERROR(E18 * INDEX('📊 COGS'!B:B, O18), 0)</f>
        <v>0</v>
      </c>
      <c r="O18" s="7" t="str">
        <f>MATCH(TRIM(C18), '📊 COGS'!A:A, 0)</f>
        <v>#N/A</v>
      </c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47">
        <f>IFERROR(__xludf.DUMMYFUNCTION("""COMPUTED_VALUE"""),46244.0)</f>
        <v>46244</v>
      </c>
      <c r="B19" s="7" t="str">
        <f>IFERROR(__xludf.DUMMYFUNCTION("""COMPUTED_VALUE"""),"P004")</f>
        <v>P004</v>
      </c>
      <c r="C19" s="7" t="str">
        <f>IFERROR(__xludf.DUMMYFUNCTION("""COMPUTED_VALUE"""),"Baby Tin 18g")</f>
        <v>Baby Tin 18g</v>
      </c>
      <c r="D19" s="7" t="str">
        <f>IFERROR(__xludf.DUMMYFUNCTION("""COMPUTED_VALUE"""),"Baby Tin")</f>
        <v>Baby Tin</v>
      </c>
      <c r="E19" s="7">
        <f>IFERROR(__xludf.DUMMYFUNCTION("""COMPUTED_VALUE"""),2.0)</f>
        <v>2</v>
      </c>
      <c r="F19" s="7">
        <f>IFERROR(__xludf.DUMMYFUNCTION("""COMPUTED_VALUE"""),2000.0)</f>
        <v>2000</v>
      </c>
      <c r="G19" s="7">
        <f>IFERROR(__xludf.DUMMYFUNCTION("""COMPUTED_VALUE"""),4000.0)</f>
        <v>4000</v>
      </c>
      <c r="H19" s="7" t="str">
        <f>IFERROR(__xludf.DUMMYFUNCTION("""COMPUTED_VALUE"""),"Paid")</f>
        <v>Paid</v>
      </c>
      <c r="I19" s="7"/>
      <c r="J19" s="7"/>
      <c r="K19" s="7"/>
      <c r="L19" s="7" t="str">
        <f>IFERROR(__xludf.DUMMYFUNCTION("""COMPUTED_VALUE"""),"Cash")</f>
        <v>Cash</v>
      </c>
      <c r="M19" s="7"/>
      <c r="N19" s="7">
        <f t="array" ref="N19">IFERROR(E19 * INDEX('📊 COGS'!B:B, O19), 0)</f>
        <v>2140</v>
      </c>
      <c r="O19" s="7">
        <f>MATCH(TRIM(C19), '📊 COGS'!A:A, 0)</f>
        <v>5</v>
      </c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47">
        <f>IFERROR(__xludf.DUMMYFUNCTION("""COMPUTED_VALUE"""),46245.0)</f>
        <v>46245</v>
      </c>
      <c r="B20" s="7" t="str">
        <f>IFERROR(__xludf.DUMMYFUNCTION("""COMPUTED_VALUE"""),"P004")</f>
        <v>P004</v>
      </c>
      <c r="C20" s="7" t="str">
        <f>IFERROR(__xludf.DUMMYFUNCTION("""COMPUTED_VALUE"""),"Baby Tin 18g")</f>
        <v>Baby Tin 18g</v>
      </c>
      <c r="D20" s="7" t="str">
        <f>IFERROR(__xludf.DUMMYFUNCTION("""COMPUTED_VALUE"""),"Baby Tin")</f>
        <v>Baby Tin</v>
      </c>
      <c r="E20" s="7">
        <f>IFERROR(__xludf.DUMMYFUNCTION("""COMPUTED_VALUE"""),11.0)</f>
        <v>11</v>
      </c>
      <c r="F20" s="7">
        <f>IFERROR(__xludf.DUMMYFUNCTION("""COMPUTED_VALUE"""),2000.0)</f>
        <v>2000</v>
      </c>
      <c r="G20" s="7">
        <f>IFERROR(__xludf.DUMMYFUNCTION("""COMPUTED_VALUE"""),22000.0)</f>
        <v>22000</v>
      </c>
      <c r="H20" s="7" t="str">
        <f>IFERROR(__xludf.DUMMYFUNCTION("""COMPUTED_VALUE"""),"Paid")</f>
        <v>Paid</v>
      </c>
      <c r="I20" s="7"/>
      <c r="J20" s="7"/>
      <c r="K20" s="7"/>
      <c r="L20" s="7" t="str">
        <f>IFERROR(__xludf.DUMMYFUNCTION("""COMPUTED_VALUE"""),"Cash")</f>
        <v>Cash</v>
      </c>
      <c r="M20" s="7"/>
      <c r="N20" s="7">
        <f t="array" ref="N20">IFERROR(E20 * INDEX('📊 COGS'!B:B, O20), 0)</f>
        <v>11770</v>
      </c>
      <c r="O20" s="7">
        <f>MATCH(TRIM(C20), '📊 COGS'!A:A, 0)</f>
        <v>5</v>
      </c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47">
        <f>IFERROR(__xludf.DUMMYFUNCTION("""COMPUTED_VALUE"""),46245.0)</f>
        <v>46245</v>
      </c>
      <c r="B21" s="7" t="str">
        <f>IFERROR(__xludf.DUMMYFUNCTION("""COMPUTED_VALUE"""),"P006")</f>
        <v>P006</v>
      </c>
      <c r="C21" s="7" t="str">
        <f>IFERROR(__xludf.DUMMYFUNCTION("""COMPUTED_VALUE"""),"Spiced 50g")</f>
        <v>Spiced 50g</v>
      </c>
      <c r="D21" s="7" t="str">
        <f>IFERROR(__xludf.DUMMYFUNCTION("""COMPUTED_VALUE"""),"Spiced")</f>
        <v>Spiced</v>
      </c>
      <c r="E21" s="7">
        <f>IFERROR(__xludf.DUMMYFUNCTION("""COMPUTED_VALUE"""),14.0)</f>
        <v>14</v>
      </c>
      <c r="F21" s="7">
        <f>IFERROR(__xludf.DUMMYFUNCTION("""COMPUTED_VALUE"""),5000.0)</f>
        <v>5000</v>
      </c>
      <c r="G21" s="7">
        <f>IFERROR(__xludf.DUMMYFUNCTION("""COMPUTED_VALUE"""),70000.0)</f>
        <v>70000</v>
      </c>
      <c r="H21" s="7" t="str">
        <f>IFERROR(__xludf.DUMMYFUNCTION("""COMPUTED_VALUE"""),"Paid")</f>
        <v>Paid</v>
      </c>
      <c r="I21" s="7"/>
      <c r="J21" s="7"/>
      <c r="K21" s="7"/>
      <c r="L21" s="7" t="str">
        <f>IFERROR(__xludf.DUMMYFUNCTION("""COMPUTED_VALUE"""),"Cash")</f>
        <v>Cash</v>
      </c>
      <c r="M21" s="7"/>
      <c r="N21" s="7">
        <f t="array" ref="N21">IFERROR(E21 * INDEX('📊 COGS'!B:B, O21), 0)</f>
        <v>0</v>
      </c>
      <c r="O21" s="7" t="str">
        <f>MATCH(TRIM(C21), '📊 COGS'!A:A, 0)</f>
        <v>#N/A</v>
      </c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47">
        <f>IFERROR(__xludf.DUMMYFUNCTION("""COMPUTED_VALUE"""),46245.0)</f>
        <v>46245</v>
      </c>
      <c r="B22" s="7" t="str">
        <f>IFERROR(__xludf.DUMMYFUNCTION("""COMPUTED_VALUE"""),"P006")</f>
        <v>P006</v>
      </c>
      <c r="C22" s="7" t="str">
        <f>IFERROR(__xludf.DUMMYFUNCTION("""COMPUTED_VALUE"""),"Spiced 50g")</f>
        <v>Spiced 50g</v>
      </c>
      <c r="D22" s="7" t="str">
        <f>IFERROR(__xludf.DUMMYFUNCTION("""COMPUTED_VALUE"""),"Spiced")</f>
        <v>Spiced</v>
      </c>
      <c r="E22" s="7">
        <f>IFERROR(__xludf.DUMMYFUNCTION("""COMPUTED_VALUE"""),1.0)</f>
        <v>1</v>
      </c>
      <c r="F22" s="7">
        <f>IFERROR(__xludf.DUMMYFUNCTION("""COMPUTED_VALUE"""),5000.0)</f>
        <v>5000</v>
      </c>
      <c r="G22" s="7">
        <f>IFERROR(__xludf.DUMMYFUNCTION("""COMPUTED_VALUE"""),5000.0)</f>
        <v>5000</v>
      </c>
      <c r="H22" s="7" t="str">
        <f>IFERROR(__xludf.DUMMYFUNCTION("""COMPUTED_VALUE"""),"Paid")</f>
        <v>Paid</v>
      </c>
      <c r="I22" s="7"/>
      <c r="J22" s="7"/>
      <c r="K22" s="7"/>
      <c r="L22" s="7" t="str">
        <f>IFERROR(__xludf.DUMMYFUNCTION("""COMPUTED_VALUE"""),"Cash")</f>
        <v>Cash</v>
      </c>
      <c r="M22" s="7" t="str">
        <f>IFERROR(__xludf.DUMMYFUNCTION("""COMPUTED_VALUE"""),"Cleared 12th Aug")</f>
        <v>Cleared 12th Aug</v>
      </c>
      <c r="N22" s="7">
        <f t="array" ref="N22">IFERROR(E22 * INDEX('📊 COGS'!B:B, O22), 0)</f>
        <v>0</v>
      </c>
      <c r="O22" s="7" t="str">
        <f>MATCH(TRIM(C22), '📊 COGS'!A:A, 0)</f>
        <v>#N/A</v>
      </c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47">
        <f>IFERROR(__xludf.DUMMYFUNCTION("""COMPUTED_VALUE"""),46245.0)</f>
        <v>46245</v>
      </c>
      <c r="B23" s="7" t="str">
        <f>IFERROR(__xludf.DUMMYFUNCTION("""COMPUTED_VALUE"""),"P006")</f>
        <v>P006</v>
      </c>
      <c r="C23" s="7" t="str">
        <f>IFERROR(__xludf.DUMMYFUNCTION("""COMPUTED_VALUE"""),"Spiced 50g")</f>
        <v>Spiced 50g</v>
      </c>
      <c r="D23" s="7" t="str">
        <f>IFERROR(__xludf.DUMMYFUNCTION("""COMPUTED_VALUE"""),"Spiced")</f>
        <v>Spiced</v>
      </c>
      <c r="E23" s="7">
        <f>IFERROR(__xludf.DUMMYFUNCTION("""COMPUTED_VALUE"""),1.0)</f>
        <v>1</v>
      </c>
      <c r="F23" s="7">
        <f>IFERROR(__xludf.DUMMYFUNCTION("""COMPUTED_VALUE"""),5000.0)</f>
        <v>5000</v>
      </c>
      <c r="G23" s="7">
        <f>IFERROR(__xludf.DUMMYFUNCTION("""COMPUTED_VALUE"""),5000.0)</f>
        <v>5000</v>
      </c>
      <c r="H23" s="7" t="str">
        <f>IFERROR(__xludf.DUMMYFUNCTION("""COMPUTED_VALUE"""),"Paid")</f>
        <v>Paid</v>
      </c>
      <c r="I23" s="7"/>
      <c r="J23" s="7"/>
      <c r="K23" s="7"/>
      <c r="L23" s="7" t="str">
        <f>IFERROR(__xludf.DUMMYFUNCTION("""COMPUTED_VALUE"""),"Cash")</f>
        <v>Cash</v>
      </c>
      <c r="M23" s="7"/>
      <c r="N23" s="7">
        <f t="array" ref="N23">IFERROR(E23 * INDEX('📊 COGS'!B:B, O23), 0)</f>
        <v>0</v>
      </c>
      <c r="O23" s="7" t="str">
        <f>MATCH(TRIM(C23), '📊 COGS'!A:A, 0)</f>
        <v>#N/A</v>
      </c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47">
        <f>IFERROR(__xludf.DUMMYFUNCTION("""COMPUTED_VALUE"""),46245.0)</f>
        <v>46245</v>
      </c>
      <c r="B24" s="7" t="str">
        <f>IFERROR(__xludf.DUMMYFUNCTION("""COMPUTED_VALUE"""),"P012")</f>
        <v>P012</v>
      </c>
      <c r="C24" s="7" t="str">
        <f>IFERROR(__xludf.DUMMYFUNCTION("""COMPUTED_VALUE"""),"Medium Roast Medium Grind (250g)")</f>
        <v>Medium Roast Medium Grind (250g)</v>
      </c>
      <c r="D24" s="7" t="str">
        <f>IFERROR(__xludf.DUMMYFUNCTION("""COMPUTED_VALUE"""),"Black Pack Medium")</f>
        <v>Black Pack Medium</v>
      </c>
      <c r="E24" s="7">
        <f>IFERROR(__xludf.DUMMYFUNCTION("""COMPUTED_VALUE"""),1.0)</f>
        <v>1</v>
      </c>
      <c r="F24" s="7">
        <f>IFERROR(__xludf.DUMMYFUNCTION("""COMPUTED_VALUE"""),25000.0)</f>
        <v>25000</v>
      </c>
      <c r="G24" s="7">
        <f>IFERROR(__xludf.DUMMYFUNCTION("""COMPUTED_VALUE"""),25000.0)</f>
        <v>25000</v>
      </c>
      <c r="H24" s="7" t="str">
        <f>IFERROR(__xludf.DUMMYFUNCTION("""COMPUTED_VALUE"""),"Pending")</f>
        <v>Pending</v>
      </c>
      <c r="I24" s="7"/>
      <c r="J24" s="7"/>
      <c r="K24" s="7"/>
      <c r="L24" s="7" t="str">
        <f>IFERROR(__xludf.DUMMYFUNCTION("""COMPUTED_VALUE"""),"Credit")</f>
        <v>Credit</v>
      </c>
      <c r="M24" s="7" t="str">
        <f>IFERROR(__xludf.DUMMYFUNCTION("""COMPUTED_VALUE"""),"Tendo")</f>
        <v>Tendo</v>
      </c>
      <c r="N24" s="7">
        <f t="array" ref="N24">IFERROR(E24 * INDEX('📊 COGS'!B:B, O24), 0)</f>
        <v>0</v>
      </c>
      <c r="O24" s="7" t="str">
        <f>MATCH(TRIM(C24), '📊 COGS'!A:A, 0)</f>
        <v>#N/A</v>
      </c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47">
        <f>IFERROR(__xludf.DUMMYFUNCTION("""COMPUTED_VALUE"""),46245.0)</f>
        <v>46245</v>
      </c>
      <c r="B25" s="7" t="str">
        <f>IFERROR(__xludf.DUMMYFUNCTION("""COMPUTED_VALUE"""),"P013")</f>
        <v>P013</v>
      </c>
      <c r="C25" s="7" t="str">
        <f>IFERROR(__xludf.DUMMYFUNCTION("""COMPUTED_VALUE"""),"Dark Roast Fine Grind (250g)")</f>
        <v>Dark Roast Fine Grind (250g)</v>
      </c>
      <c r="D25" s="7" t="str">
        <f>IFERROR(__xludf.DUMMYFUNCTION("""COMPUTED_VALUE"""),"Black Pack Medium")</f>
        <v>Black Pack Medium</v>
      </c>
      <c r="E25" s="7">
        <f>IFERROR(__xludf.DUMMYFUNCTION("""COMPUTED_VALUE"""),1.0)</f>
        <v>1</v>
      </c>
      <c r="F25" s="7">
        <f>IFERROR(__xludf.DUMMYFUNCTION("""COMPUTED_VALUE"""),25000.0)</f>
        <v>25000</v>
      </c>
      <c r="G25" s="7">
        <f>IFERROR(__xludf.DUMMYFUNCTION("""COMPUTED_VALUE"""),25000.0)</f>
        <v>25000</v>
      </c>
      <c r="H25" s="7" t="str">
        <f>IFERROR(__xludf.DUMMYFUNCTION("""COMPUTED_VALUE"""),"Pending")</f>
        <v>Pending</v>
      </c>
      <c r="I25" s="7"/>
      <c r="J25" s="7"/>
      <c r="K25" s="7"/>
      <c r="L25" s="7" t="str">
        <f>IFERROR(__xludf.DUMMYFUNCTION("""COMPUTED_VALUE"""),"Cash")</f>
        <v>Cash</v>
      </c>
      <c r="M25" s="7" t="str">
        <f>IFERROR(__xludf.DUMMYFUNCTION("""COMPUTED_VALUE"""),"SY")</f>
        <v>SY</v>
      </c>
      <c r="N25" s="7">
        <f t="array" ref="N25">IFERROR(E25 * INDEX('📊 COGS'!B:B, O25), 0)</f>
        <v>0</v>
      </c>
      <c r="O25" s="7" t="str">
        <f>MATCH(TRIM(C25), '📊 COGS'!A:A, 0)</f>
        <v>#N/A</v>
      </c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47">
        <f>IFERROR(__xludf.DUMMYFUNCTION("""COMPUTED_VALUE"""),46245.0)</f>
        <v>46245</v>
      </c>
      <c r="B26" s="7" t="str">
        <f>IFERROR(__xludf.DUMMYFUNCTION("""COMPUTED_VALUE"""),"P014")</f>
        <v>P014</v>
      </c>
      <c r="C26" s="7" t="str">
        <f>IFERROR(__xludf.DUMMYFUNCTION("""COMPUTED_VALUE"""),"Dark Roast Medium Grind (250g)")</f>
        <v>Dark Roast Medium Grind (250g)</v>
      </c>
      <c r="D26" s="7" t="str">
        <f>IFERROR(__xludf.DUMMYFUNCTION("""COMPUTED_VALUE"""),"Black Pack Medium")</f>
        <v>Black Pack Medium</v>
      </c>
      <c r="E26" s="7">
        <f>IFERROR(__xludf.DUMMYFUNCTION("""COMPUTED_VALUE"""),1.0)</f>
        <v>1</v>
      </c>
      <c r="F26" s="7">
        <f>IFERROR(__xludf.DUMMYFUNCTION("""COMPUTED_VALUE"""),25000.0)</f>
        <v>25000</v>
      </c>
      <c r="G26" s="7">
        <f>IFERROR(__xludf.DUMMYFUNCTION("""COMPUTED_VALUE"""),25000.0)</f>
        <v>25000</v>
      </c>
      <c r="H26" s="7" t="str">
        <f>IFERROR(__xludf.DUMMYFUNCTION("""COMPUTED_VALUE"""),"Pending")</f>
        <v>Pending</v>
      </c>
      <c r="I26" s="7"/>
      <c r="J26" s="7"/>
      <c r="K26" s="7"/>
      <c r="L26" s="7" t="str">
        <f>IFERROR(__xludf.DUMMYFUNCTION("""COMPUTED_VALUE"""),"Credit")</f>
        <v>Credit</v>
      </c>
      <c r="M26" s="7" t="str">
        <f>IFERROR(__xludf.DUMMYFUNCTION("""COMPUTED_VALUE"""),"Tendo")</f>
        <v>Tendo</v>
      </c>
      <c r="N26" s="7">
        <f t="array" ref="N26">IFERROR(E26 * INDEX('📊 COGS'!B:B, O26), 0)</f>
        <v>0</v>
      </c>
      <c r="O26" s="7" t="str">
        <f>MATCH(TRIM(C26), '📊 COGS'!A:A, 0)</f>
        <v>#N/A</v>
      </c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47">
        <f>IFERROR(__xludf.DUMMYFUNCTION("""COMPUTED_VALUE"""),46246.0)</f>
        <v>46246</v>
      </c>
      <c r="B27" s="7" t="str">
        <f>IFERROR(__xludf.DUMMYFUNCTION("""COMPUTED_VALUE"""),"P006")</f>
        <v>P006</v>
      </c>
      <c r="C27" s="7" t="str">
        <f>IFERROR(__xludf.DUMMYFUNCTION("""COMPUTED_VALUE"""),"Spiced 50g")</f>
        <v>Spiced 50g</v>
      </c>
      <c r="D27" s="7" t="str">
        <f>IFERROR(__xludf.DUMMYFUNCTION("""COMPUTED_VALUE"""),"Spiced")</f>
        <v>Spiced</v>
      </c>
      <c r="E27" s="7">
        <f>IFERROR(__xludf.DUMMYFUNCTION("""COMPUTED_VALUE"""),15.0)</f>
        <v>15</v>
      </c>
      <c r="F27" s="7">
        <f>IFERROR(__xludf.DUMMYFUNCTION("""COMPUTED_VALUE"""),5000.0)</f>
        <v>5000</v>
      </c>
      <c r="G27" s="7">
        <f>IFERROR(__xludf.DUMMYFUNCTION("""COMPUTED_VALUE"""),75000.0)</f>
        <v>75000</v>
      </c>
      <c r="H27" s="7" t="str">
        <f>IFERROR(__xludf.DUMMYFUNCTION("""COMPUTED_VALUE"""),"Paid")</f>
        <v>Paid</v>
      </c>
      <c r="I27" s="7"/>
      <c r="J27" s="7"/>
      <c r="K27" s="7"/>
      <c r="L27" s="7" t="str">
        <f>IFERROR(__xludf.DUMMYFUNCTION("""COMPUTED_VALUE"""),"Cash")</f>
        <v>Cash</v>
      </c>
      <c r="M27" s="7"/>
      <c r="N27" s="7">
        <f t="array" ref="N27">IFERROR(E27 * INDEX('📊 COGS'!B:B, O27), 0)</f>
        <v>0</v>
      </c>
      <c r="O27" s="7" t="str">
        <f>MATCH(TRIM(C27), '📊 COGS'!A:A, 0)</f>
        <v>#N/A</v>
      </c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47">
        <f>IFERROR(__xludf.DUMMYFUNCTION("""COMPUTED_VALUE"""),46246.0)</f>
        <v>46246</v>
      </c>
      <c r="B28" s="7" t="str">
        <f>IFERROR(__xludf.DUMMYFUNCTION("""COMPUTED_VALUE"""),"P004")</f>
        <v>P004</v>
      </c>
      <c r="C28" s="7" t="str">
        <f>IFERROR(__xludf.DUMMYFUNCTION("""COMPUTED_VALUE"""),"Baby Tin 18g")</f>
        <v>Baby Tin 18g</v>
      </c>
      <c r="D28" s="7" t="str">
        <f>IFERROR(__xludf.DUMMYFUNCTION("""COMPUTED_VALUE"""),"Baby Tin")</f>
        <v>Baby Tin</v>
      </c>
      <c r="E28" s="7">
        <f>IFERROR(__xludf.DUMMYFUNCTION("""COMPUTED_VALUE"""),23.0)</f>
        <v>23</v>
      </c>
      <c r="F28" s="7">
        <f>IFERROR(__xludf.DUMMYFUNCTION("""COMPUTED_VALUE"""),2000.0)</f>
        <v>2000</v>
      </c>
      <c r="G28" s="7">
        <f>IFERROR(__xludf.DUMMYFUNCTION("""COMPUTED_VALUE"""),46000.0)</f>
        <v>46000</v>
      </c>
      <c r="H28" s="7" t="str">
        <f>IFERROR(__xludf.DUMMYFUNCTION("""COMPUTED_VALUE"""),"Paid")</f>
        <v>Paid</v>
      </c>
      <c r="I28" s="7"/>
      <c r="J28" s="7"/>
      <c r="K28" s="7"/>
      <c r="L28" s="7" t="str">
        <f>IFERROR(__xludf.DUMMYFUNCTION("""COMPUTED_VALUE"""),"Cash")</f>
        <v>Cash</v>
      </c>
      <c r="M28" s="7"/>
      <c r="N28" s="7">
        <f t="array" ref="N28">IFERROR(E28 * INDEX('📊 COGS'!B:B, O28), 0)</f>
        <v>24610</v>
      </c>
      <c r="O28" s="7">
        <f>MATCH(TRIM(C28), '📊 COGS'!A:A, 0)</f>
        <v>5</v>
      </c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47">
        <f>IFERROR(__xludf.DUMMYFUNCTION("""COMPUTED_VALUE"""),46247.0)</f>
        <v>46247</v>
      </c>
      <c r="B29" s="7" t="str">
        <f>IFERROR(__xludf.DUMMYFUNCTION("""COMPUTED_VALUE"""),"P004")</f>
        <v>P004</v>
      </c>
      <c r="C29" s="7" t="str">
        <f>IFERROR(__xludf.DUMMYFUNCTION("""COMPUTED_VALUE"""),"Baby Tin 18g")</f>
        <v>Baby Tin 18g</v>
      </c>
      <c r="D29" s="7" t="str">
        <f>IFERROR(__xludf.DUMMYFUNCTION("""COMPUTED_VALUE"""),"Baby Tin")</f>
        <v>Baby Tin</v>
      </c>
      <c r="E29" s="7">
        <f>IFERROR(__xludf.DUMMYFUNCTION("""COMPUTED_VALUE"""),8.0)</f>
        <v>8</v>
      </c>
      <c r="F29" s="7">
        <f>IFERROR(__xludf.DUMMYFUNCTION("""COMPUTED_VALUE"""),2000.0)</f>
        <v>2000</v>
      </c>
      <c r="G29" s="7">
        <f>IFERROR(__xludf.DUMMYFUNCTION("""COMPUTED_VALUE"""),16000.0)</f>
        <v>16000</v>
      </c>
      <c r="H29" s="7" t="str">
        <f>IFERROR(__xludf.DUMMYFUNCTION("""COMPUTED_VALUE"""),"Paid")</f>
        <v>Paid</v>
      </c>
      <c r="I29" s="7"/>
      <c r="J29" s="7"/>
      <c r="K29" s="7"/>
      <c r="L29" s="7" t="str">
        <f>IFERROR(__xludf.DUMMYFUNCTION("""COMPUTED_VALUE"""),"Cash")</f>
        <v>Cash</v>
      </c>
      <c r="M29" s="7"/>
      <c r="N29" s="7">
        <f t="array" ref="N29">IFERROR(E29 * INDEX('📊 COGS'!B:B, O29), 0)</f>
        <v>8560</v>
      </c>
      <c r="O29" s="7">
        <f>MATCH(TRIM(C29), '📊 COGS'!A:A, 0)</f>
        <v>5</v>
      </c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47">
        <f>IFERROR(__xludf.DUMMYFUNCTION("""COMPUTED_VALUE"""),46247.0)</f>
        <v>46247</v>
      </c>
      <c r="B30" s="7" t="str">
        <f>IFERROR(__xludf.DUMMYFUNCTION("""COMPUTED_VALUE"""),"P006")</f>
        <v>P006</v>
      </c>
      <c r="C30" s="7" t="str">
        <f>IFERROR(__xludf.DUMMYFUNCTION("""COMPUTED_VALUE"""),"Spiced 50g")</f>
        <v>Spiced 50g</v>
      </c>
      <c r="D30" s="7" t="str">
        <f>IFERROR(__xludf.DUMMYFUNCTION("""COMPUTED_VALUE"""),"Spiced")</f>
        <v>Spiced</v>
      </c>
      <c r="E30" s="7">
        <f>IFERROR(__xludf.DUMMYFUNCTION("""COMPUTED_VALUE"""),2.0)</f>
        <v>2</v>
      </c>
      <c r="F30" s="7">
        <f>IFERROR(__xludf.DUMMYFUNCTION("""COMPUTED_VALUE"""),5000.0)</f>
        <v>5000</v>
      </c>
      <c r="G30" s="7">
        <f>IFERROR(__xludf.DUMMYFUNCTION("""COMPUTED_VALUE"""),10000.0)</f>
        <v>10000</v>
      </c>
      <c r="H30" s="7" t="str">
        <f>IFERROR(__xludf.DUMMYFUNCTION("""COMPUTED_VALUE"""),"Paid")</f>
        <v>Paid</v>
      </c>
      <c r="I30" s="7"/>
      <c r="J30" s="7"/>
      <c r="K30" s="7"/>
      <c r="L30" s="7" t="str">
        <f>IFERROR(__xludf.DUMMYFUNCTION("""COMPUTED_VALUE"""),"Cash")</f>
        <v>Cash</v>
      </c>
      <c r="M30" s="7"/>
      <c r="N30" s="7">
        <f t="array" ref="N30">IFERROR(E30 * INDEX('📊 COGS'!B:B, O30), 0)</f>
        <v>0</v>
      </c>
      <c r="O30" s="7" t="str">
        <f>MATCH(TRIM(C30), '📊 COGS'!A:A, 0)</f>
        <v>#N/A</v>
      </c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47">
        <f>IFERROR(__xludf.DUMMYFUNCTION("""COMPUTED_VALUE"""),46247.0)</f>
        <v>46247</v>
      </c>
      <c r="B31" s="7" t="str">
        <f>IFERROR(__xludf.DUMMYFUNCTION("""COMPUTED_VALUE"""),"P006")</f>
        <v>P006</v>
      </c>
      <c r="C31" s="7" t="str">
        <f>IFERROR(__xludf.DUMMYFUNCTION("""COMPUTED_VALUE"""),"Spiced 50g")</f>
        <v>Spiced 50g</v>
      </c>
      <c r="D31" s="7" t="str">
        <f>IFERROR(__xludf.DUMMYFUNCTION("""COMPUTED_VALUE"""),"Spiced")</f>
        <v>Spiced</v>
      </c>
      <c r="E31" s="7">
        <f>IFERROR(__xludf.DUMMYFUNCTION("""COMPUTED_VALUE"""),1.0)</f>
        <v>1</v>
      </c>
      <c r="F31" s="7">
        <f>IFERROR(__xludf.DUMMYFUNCTION("""COMPUTED_VALUE"""),5000.0)</f>
        <v>5000</v>
      </c>
      <c r="G31" s="7">
        <f>IFERROR(__xludf.DUMMYFUNCTION("""COMPUTED_VALUE"""),5000.0)</f>
        <v>5000</v>
      </c>
      <c r="H31" s="7" t="str">
        <f>IFERROR(__xludf.DUMMYFUNCTION("""COMPUTED_VALUE"""),"Paid")</f>
        <v>Paid</v>
      </c>
      <c r="I31" s="7"/>
      <c r="J31" s="7"/>
      <c r="K31" s="7"/>
      <c r="L31" s="7" t="str">
        <f>IFERROR(__xludf.DUMMYFUNCTION("""COMPUTED_VALUE"""),"Cash")</f>
        <v>Cash</v>
      </c>
      <c r="M31" s="7"/>
      <c r="N31" s="7">
        <f t="array" ref="N31">IFERROR(E31 * INDEX('📊 COGS'!B:B, O31), 0)</f>
        <v>0</v>
      </c>
      <c r="O31" s="7" t="str">
        <f>MATCH(TRIM(C31), '📊 COGS'!A:A, 0)</f>
        <v>#N/A</v>
      </c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47">
        <f>IFERROR(__xludf.DUMMYFUNCTION("""COMPUTED_VALUE"""),46248.0)</f>
        <v>46248</v>
      </c>
      <c r="B32" s="7" t="str">
        <f>IFERROR(__xludf.DUMMYFUNCTION("""COMPUTED_VALUE"""),"P006")</f>
        <v>P006</v>
      </c>
      <c r="C32" s="7" t="str">
        <f>IFERROR(__xludf.DUMMYFUNCTION("""COMPUTED_VALUE"""),"Spiced 50g")</f>
        <v>Spiced 50g</v>
      </c>
      <c r="D32" s="7" t="str">
        <f>IFERROR(__xludf.DUMMYFUNCTION("""COMPUTED_VALUE"""),"Spiced")</f>
        <v>Spiced</v>
      </c>
      <c r="E32" s="7">
        <f>IFERROR(__xludf.DUMMYFUNCTION("""COMPUTED_VALUE"""),11.0)</f>
        <v>11</v>
      </c>
      <c r="F32" s="7">
        <f>IFERROR(__xludf.DUMMYFUNCTION("""COMPUTED_VALUE"""),5000.0)</f>
        <v>5000</v>
      </c>
      <c r="G32" s="7">
        <f>IFERROR(__xludf.DUMMYFUNCTION("""COMPUTED_VALUE"""),55000.0)</f>
        <v>55000</v>
      </c>
      <c r="H32" s="7" t="str">
        <f>IFERROR(__xludf.DUMMYFUNCTION("""COMPUTED_VALUE"""),"Paid")</f>
        <v>Paid</v>
      </c>
      <c r="I32" s="7"/>
      <c r="J32" s="7"/>
      <c r="K32" s="7"/>
      <c r="L32" s="7" t="str">
        <f>IFERROR(__xludf.DUMMYFUNCTION("""COMPUTED_VALUE"""),"Cash")</f>
        <v>Cash</v>
      </c>
      <c r="M32" s="7"/>
      <c r="N32" s="7">
        <f t="array" ref="N32">IFERROR(E32 * INDEX('📊 COGS'!B:B, O32), 0)</f>
        <v>0</v>
      </c>
      <c r="O32" s="7" t="str">
        <f>MATCH(TRIM(C32), '📊 COGS'!A:A, 0)</f>
        <v>#N/A</v>
      </c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47">
        <f>IFERROR(__xludf.DUMMYFUNCTION("""COMPUTED_VALUE"""),46248.0)</f>
        <v>46248</v>
      </c>
      <c r="B33" s="7" t="str">
        <f>IFERROR(__xludf.DUMMYFUNCTION("""COMPUTED_VALUE"""),"P004")</f>
        <v>P004</v>
      </c>
      <c r="C33" s="7" t="str">
        <f>IFERROR(__xludf.DUMMYFUNCTION("""COMPUTED_VALUE"""),"Baby Tin 18g")</f>
        <v>Baby Tin 18g</v>
      </c>
      <c r="D33" s="7" t="str">
        <f>IFERROR(__xludf.DUMMYFUNCTION("""COMPUTED_VALUE"""),"Baby Tin")</f>
        <v>Baby Tin</v>
      </c>
      <c r="E33" s="7">
        <f>IFERROR(__xludf.DUMMYFUNCTION("""COMPUTED_VALUE"""),5.0)</f>
        <v>5</v>
      </c>
      <c r="F33" s="7">
        <f>IFERROR(__xludf.DUMMYFUNCTION("""COMPUTED_VALUE"""),2000.0)</f>
        <v>2000</v>
      </c>
      <c r="G33" s="7">
        <f>IFERROR(__xludf.DUMMYFUNCTION("""COMPUTED_VALUE"""),10000.0)</f>
        <v>10000</v>
      </c>
      <c r="H33" s="7" t="str">
        <f>IFERROR(__xludf.DUMMYFUNCTION("""COMPUTED_VALUE"""),"Paid")</f>
        <v>Paid</v>
      </c>
      <c r="I33" s="7"/>
      <c r="J33" s="7"/>
      <c r="K33" s="7"/>
      <c r="L33" s="7" t="str">
        <f>IFERROR(__xludf.DUMMYFUNCTION("""COMPUTED_VALUE"""),"Cash")</f>
        <v>Cash</v>
      </c>
      <c r="M33" s="7"/>
      <c r="N33" s="7">
        <f t="array" ref="N33">IFERROR(E33 * INDEX('📊 COGS'!B:B, O33), 0)</f>
        <v>5350</v>
      </c>
      <c r="O33" s="7">
        <f>MATCH(TRIM(C33), '📊 COGS'!A:A, 0)</f>
        <v>5</v>
      </c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47">
        <f>IFERROR(__xludf.DUMMYFUNCTION("""COMPUTED_VALUE"""),46250.0)</f>
        <v>46250</v>
      </c>
      <c r="B34" s="7" t="str">
        <f>IFERROR(__xludf.DUMMYFUNCTION("""COMPUTED_VALUE"""),"P007")</f>
        <v>P007</v>
      </c>
      <c r="C34" s="7" t="str">
        <f>IFERROR(__xludf.DUMMYFUNCTION("""COMPUTED_VALUE"""),"Black Pack 100g")</f>
        <v>Black Pack 100g</v>
      </c>
      <c r="D34" s="7" t="str">
        <f>IFERROR(__xludf.DUMMYFUNCTION("""COMPUTED_VALUE"""),"Black Pack Small")</f>
        <v>Black Pack Small</v>
      </c>
      <c r="E34" s="7">
        <f>IFERROR(__xludf.DUMMYFUNCTION("""COMPUTED_VALUE"""),2.0)</f>
        <v>2</v>
      </c>
      <c r="F34" s="7">
        <f>IFERROR(__xludf.DUMMYFUNCTION("""COMPUTED_VALUE"""),10000.0)</f>
        <v>10000</v>
      </c>
      <c r="G34" s="7">
        <f>IFERROR(__xludf.DUMMYFUNCTION("""COMPUTED_VALUE"""),20000.0)</f>
        <v>20000</v>
      </c>
      <c r="H34" s="7" t="str">
        <f>IFERROR(__xludf.DUMMYFUNCTION("""COMPUTED_VALUE"""),"Paid")</f>
        <v>Paid</v>
      </c>
      <c r="I34" s="7"/>
      <c r="J34" s="7"/>
      <c r="K34" s="7"/>
      <c r="L34" s="7" t="str">
        <f>IFERROR(__xludf.DUMMYFUNCTION("""COMPUTED_VALUE"""),"Cash")</f>
        <v>Cash</v>
      </c>
      <c r="M34" s="7"/>
      <c r="N34" s="7">
        <f t="array" ref="N34">IFERROR(E34 * INDEX('📊 COGS'!B:B, O34), 0)</f>
        <v>7466.666667</v>
      </c>
      <c r="O34" s="7">
        <f>MATCH(TRIM(C34), '📊 COGS'!A:A, 0)</f>
        <v>8</v>
      </c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47">
        <f>IFERROR(__xludf.DUMMYFUNCTION("""COMPUTED_VALUE"""),46250.0)</f>
        <v>46250</v>
      </c>
      <c r="B35" s="7" t="str">
        <f>IFERROR(__xludf.DUMMYFUNCTION("""COMPUTED_VALUE"""),"P006")</f>
        <v>P006</v>
      </c>
      <c r="C35" s="7" t="str">
        <f>IFERROR(__xludf.DUMMYFUNCTION("""COMPUTED_VALUE"""),"Spiced 50g")</f>
        <v>Spiced 50g</v>
      </c>
      <c r="D35" s="7" t="str">
        <f>IFERROR(__xludf.DUMMYFUNCTION("""COMPUTED_VALUE"""),"Spiced")</f>
        <v>Spiced</v>
      </c>
      <c r="E35" s="7">
        <f>IFERROR(__xludf.DUMMYFUNCTION("""COMPUTED_VALUE"""),1.0)</f>
        <v>1</v>
      </c>
      <c r="F35" s="7">
        <f>IFERROR(__xludf.DUMMYFUNCTION("""COMPUTED_VALUE"""),5000.0)</f>
        <v>5000</v>
      </c>
      <c r="G35" s="7">
        <f>IFERROR(__xludf.DUMMYFUNCTION("""COMPUTED_VALUE"""),5000.0)</f>
        <v>5000</v>
      </c>
      <c r="H35" s="7" t="str">
        <f>IFERROR(__xludf.DUMMYFUNCTION("""COMPUTED_VALUE"""),"Paid")</f>
        <v>Paid</v>
      </c>
      <c r="I35" s="7"/>
      <c r="J35" s="7"/>
      <c r="K35" s="7"/>
      <c r="L35" s="7" t="str">
        <f>IFERROR(__xludf.DUMMYFUNCTION("""COMPUTED_VALUE"""),"Cash")</f>
        <v>Cash</v>
      </c>
      <c r="M35" s="7"/>
      <c r="N35" s="7">
        <f t="array" ref="N35">IFERROR(E35 * INDEX('📊 COGS'!B:B, O35), 0)</f>
        <v>0</v>
      </c>
      <c r="O35" s="7" t="str">
        <f>MATCH(TRIM(C35), '📊 COGS'!A:A, 0)</f>
        <v>#N/A</v>
      </c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47">
        <f>IFERROR(__xludf.DUMMYFUNCTION("""COMPUTED_VALUE"""),46250.0)</f>
        <v>46250</v>
      </c>
      <c r="B36" s="7" t="str">
        <f>IFERROR(__xludf.DUMMYFUNCTION("""COMPUTED_VALUE"""),"P008")</f>
        <v>P008</v>
      </c>
      <c r="C36" s="7" t="str">
        <f>IFERROR(__xludf.DUMMYFUNCTION("""COMPUTED_VALUE"""),"MiDAY Combo")</f>
        <v>MiDAY Combo</v>
      </c>
      <c r="D36" s="7" t="str">
        <f>IFERROR(__xludf.DUMMYFUNCTION("""COMPUTED_VALUE"""),"Combo")</f>
        <v>Combo</v>
      </c>
      <c r="E36" s="7">
        <f>IFERROR(__xludf.DUMMYFUNCTION("""COMPUTED_VALUE"""),1.0)</f>
        <v>1</v>
      </c>
      <c r="F36" s="7">
        <f>IFERROR(__xludf.DUMMYFUNCTION("""COMPUTED_VALUE"""),12000.0)</f>
        <v>12000</v>
      </c>
      <c r="G36" s="7">
        <f>IFERROR(__xludf.DUMMYFUNCTION("""COMPUTED_VALUE"""),12000.0)</f>
        <v>12000</v>
      </c>
      <c r="H36" s="7" t="str">
        <f>IFERROR(__xludf.DUMMYFUNCTION("""COMPUTED_VALUE"""),"Paid")</f>
        <v>Paid</v>
      </c>
      <c r="I36" s="7"/>
      <c r="J36" s="7"/>
      <c r="K36" s="7"/>
      <c r="L36" s="7" t="str">
        <f>IFERROR(__xludf.DUMMYFUNCTION("""COMPUTED_VALUE"""),"Cash")</f>
        <v>Cash</v>
      </c>
      <c r="M36" s="7"/>
      <c r="N36" s="7">
        <f t="array" ref="N36">IFERROR(E36 * INDEX('📊 COGS'!B:B, O36), 0)</f>
        <v>8583.33</v>
      </c>
      <c r="O36" s="7">
        <f>MATCH(TRIM(C36), '📊 COGS'!A:A, 0)</f>
        <v>9</v>
      </c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47">
        <f>IFERROR(__xludf.DUMMYFUNCTION("""COMPUTED_VALUE"""),46255.0)</f>
        <v>46255</v>
      </c>
      <c r="B37" s="7" t="str">
        <f>IFERROR(__xludf.DUMMYFUNCTION("""COMPUTED_VALUE"""),"P006")</f>
        <v>P006</v>
      </c>
      <c r="C37" s="7" t="str">
        <f>IFERROR(__xludf.DUMMYFUNCTION("""COMPUTED_VALUE"""),"Spiced 50g")</f>
        <v>Spiced 50g</v>
      </c>
      <c r="D37" s="7" t="str">
        <f>IFERROR(__xludf.DUMMYFUNCTION("""COMPUTED_VALUE"""),"Spiced")</f>
        <v>Spiced</v>
      </c>
      <c r="E37" s="7">
        <f>IFERROR(__xludf.DUMMYFUNCTION("""COMPUTED_VALUE"""),2.0)</f>
        <v>2</v>
      </c>
      <c r="F37" s="7">
        <f>IFERROR(__xludf.DUMMYFUNCTION("""COMPUTED_VALUE"""),5000.0)</f>
        <v>5000</v>
      </c>
      <c r="G37" s="7">
        <f>IFERROR(__xludf.DUMMYFUNCTION("""COMPUTED_VALUE"""),10000.0)</f>
        <v>10000</v>
      </c>
      <c r="H37" s="7" t="str">
        <f>IFERROR(__xludf.DUMMYFUNCTION("""COMPUTED_VALUE"""),"Paid")</f>
        <v>Paid</v>
      </c>
      <c r="I37" s="7"/>
      <c r="J37" s="7"/>
      <c r="K37" s="7"/>
      <c r="L37" s="7" t="str">
        <f>IFERROR(__xludf.DUMMYFUNCTION("""COMPUTED_VALUE"""),"Cash")</f>
        <v>Cash</v>
      </c>
      <c r="M37" s="7"/>
      <c r="N37" s="7">
        <f t="array" ref="N37">IFERROR(E37 * INDEX('📊 COGS'!B:B, O37), 0)</f>
        <v>0</v>
      </c>
      <c r="O37" s="7" t="str">
        <f>MATCH(TRIM(C37), '📊 COGS'!A:A, 0)</f>
        <v>#N/A</v>
      </c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47">
        <f>IFERROR(__xludf.DUMMYFUNCTION("""COMPUTED_VALUE"""),46255.0)</f>
        <v>46255</v>
      </c>
      <c r="B38" s="7" t="str">
        <f>IFERROR(__xludf.DUMMYFUNCTION("""COMPUTED_VALUE"""),"P004")</f>
        <v>P004</v>
      </c>
      <c r="C38" s="7" t="str">
        <f>IFERROR(__xludf.DUMMYFUNCTION("""COMPUTED_VALUE"""),"Baby Tin 18g")</f>
        <v>Baby Tin 18g</v>
      </c>
      <c r="D38" s="7" t="str">
        <f>IFERROR(__xludf.DUMMYFUNCTION("""COMPUTED_VALUE"""),"Baby Tin")</f>
        <v>Baby Tin</v>
      </c>
      <c r="E38" s="7">
        <f>IFERROR(__xludf.DUMMYFUNCTION("""COMPUTED_VALUE"""),3.0)</f>
        <v>3</v>
      </c>
      <c r="F38" s="7">
        <f>IFERROR(__xludf.DUMMYFUNCTION("""COMPUTED_VALUE"""),2000.0)</f>
        <v>2000</v>
      </c>
      <c r="G38" s="7">
        <f>IFERROR(__xludf.DUMMYFUNCTION("""COMPUTED_VALUE"""),6000.0)</f>
        <v>6000</v>
      </c>
      <c r="H38" s="7" t="str">
        <f>IFERROR(__xludf.DUMMYFUNCTION("""COMPUTED_VALUE"""),"Paid")</f>
        <v>Paid</v>
      </c>
      <c r="I38" s="7"/>
      <c r="J38" s="7"/>
      <c r="K38" s="7"/>
      <c r="L38" s="7" t="str">
        <f>IFERROR(__xludf.DUMMYFUNCTION("""COMPUTED_VALUE"""),"Cash")</f>
        <v>Cash</v>
      </c>
      <c r="M38" s="7"/>
      <c r="N38" s="7">
        <f t="array" ref="N38">IFERROR(E38 * INDEX('📊 COGS'!B:B, O38), 0)</f>
        <v>3210</v>
      </c>
      <c r="O38" s="7">
        <f>MATCH(TRIM(C38), '📊 COGS'!A:A, 0)</f>
        <v>5</v>
      </c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4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>
        <f t="array" ref="N39">IFERROR(E39 * INDEX('📊 COGS'!B:B, O39), 0)</f>
        <v>0</v>
      </c>
      <c r="O39" s="7" t="str">
        <f>MATCH(TRIM(C39), '📊 COGS'!A:A, 0)</f>
        <v>#N/A</v>
      </c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4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>
        <f t="array" ref="N40">IFERROR(E40 * INDEX('📊 COGS'!B:B, O40), 0)</f>
        <v>0</v>
      </c>
      <c r="O40" s="7" t="str">
        <f>MATCH(TRIM(C40), '📊 COGS'!A:A, 0)</f>
        <v>#N/A</v>
      </c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4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>
        <f t="array" ref="N41">IFERROR(E41 * INDEX('📊 COGS'!B:B, O41), 0)</f>
        <v>0</v>
      </c>
      <c r="O41" s="7" t="str">
        <f>MATCH(TRIM(C41), '📊 COGS'!A:A, 0)</f>
        <v>#N/A</v>
      </c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4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>
        <f t="array" ref="N42">IFERROR(E42 * INDEX('📊 COGS'!B:B, O42), 0)</f>
        <v>0</v>
      </c>
      <c r="O42" s="7" t="str">
        <f>MATCH(TRIM(C42), '📊 COGS'!A:A, 0)</f>
        <v>#N/A</v>
      </c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4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>
        <f t="array" ref="N43">IFERROR(E43 * INDEX('📊 COGS'!B:B, O43), 0)</f>
        <v>0</v>
      </c>
      <c r="O43" s="7" t="str">
        <f>MATCH(TRIM(C43), '📊 COGS'!A:A, 0)</f>
        <v>#N/A</v>
      </c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4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>
        <f t="array" ref="N44">IFERROR(E44 * INDEX('📊 COGS'!B:B, O44), 0)</f>
        <v>0</v>
      </c>
      <c r="O44" s="7" t="str">
        <f>MATCH(TRIM(C44), '📊 COGS'!A:A, 0)</f>
        <v>#N/A</v>
      </c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4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>
        <f t="array" ref="N45">IFERROR(E45 * INDEX('📊 COGS'!B:B, O45), 0)</f>
        <v>0</v>
      </c>
      <c r="O45" s="7" t="str">
        <f>MATCH(TRIM(C45), '📊 COGS'!A:A, 0)</f>
        <v>#N/A</v>
      </c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4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>
        <f t="array" ref="N46">IFERROR(E46 * INDEX('📊 COGS'!B:B, O46), 0)</f>
        <v>0</v>
      </c>
      <c r="O46" s="7" t="str">
        <f>MATCH(TRIM(C46), '📊 COGS'!A:A, 0)</f>
        <v>#N/A</v>
      </c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4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>
        <f t="array" ref="N47">IFERROR(E47 * INDEX('📊 COGS'!B:B, O47), 0)</f>
        <v>0</v>
      </c>
      <c r="O47" s="7" t="str">
        <f>MATCH(TRIM(C47), '📊 COGS'!A:A, 0)</f>
        <v>#N/A</v>
      </c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4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>
        <f t="array" ref="N48">IFERROR(E48 * INDEX('📊 COGS'!B:B, O48), 0)</f>
        <v>0</v>
      </c>
      <c r="O48" s="7" t="str">
        <f>MATCH(TRIM(C48), '📊 COGS'!A:A, 0)</f>
        <v>#N/A</v>
      </c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4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>
        <f t="array" ref="N49">IFERROR(E49 * INDEX('📊 COGS'!B:B, O49), 0)</f>
        <v>0</v>
      </c>
      <c r="O49" s="7" t="str">
        <f>MATCH(TRIM(C49), '📊 COGS'!A:A, 0)</f>
        <v>#N/A</v>
      </c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4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>
        <f t="array" ref="N50">IFERROR(E50 * INDEX('📊 COGS'!B:B, O50), 0)</f>
        <v>0</v>
      </c>
      <c r="O50" s="7" t="str">
        <f>MATCH(TRIM(C50), '📊 COGS'!A:A, 0)</f>
        <v>#N/A</v>
      </c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4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>
        <f t="array" ref="N51">IFERROR(E51 * INDEX('📊 COGS'!B:B, O51), 0)</f>
        <v>0</v>
      </c>
      <c r="O51" s="7" t="str">
        <f>MATCH(TRIM(C51), '📊 COGS'!A:A, 0)</f>
        <v>#N/A</v>
      </c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4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>
        <f t="array" ref="N52">IFERROR(E52 * INDEX('📊 COGS'!B:B, O52), 0)</f>
        <v>0</v>
      </c>
      <c r="O52" s="7" t="str">
        <f>MATCH(TRIM(C52), '📊 COGS'!A:A, 0)</f>
        <v>#N/A</v>
      </c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4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>
        <f t="array" ref="N53">IFERROR(E53 * INDEX('📊 COGS'!B:B, O53), 0)</f>
        <v>0</v>
      </c>
      <c r="O53" s="7" t="str">
        <f>MATCH(TRIM(C53), '📊 COGS'!A:A, 0)</f>
        <v>#N/A</v>
      </c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4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>
        <f t="array" ref="N54">IFERROR(E54 * INDEX('📊 COGS'!B:B, O54), 0)</f>
        <v>0</v>
      </c>
      <c r="O54" s="7" t="str">
        <f>MATCH(TRIM(C54), '📊 COGS'!A:A, 0)</f>
        <v>#N/A</v>
      </c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4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>
        <f t="array" ref="N55">IFERROR(E55 * INDEX('📊 COGS'!B:B, O55), 0)</f>
        <v>0</v>
      </c>
      <c r="O55" s="7" t="str">
        <f>MATCH(TRIM(C55), '📊 COGS'!A:A, 0)</f>
        <v>#N/A</v>
      </c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4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>
        <f t="array" ref="N56">IFERROR(E56 * INDEX('📊 COGS'!B:B, O56), 0)</f>
        <v>0</v>
      </c>
      <c r="O56" s="7" t="str">
        <f>MATCH(TRIM(C56), '📊 COGS'!A:A, 0)</f>
        <v>#N/A</v>
      </c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4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>
        <f t="array" ref="N57">IFERROR(E57 * INDEX('📊 COGS'!B:B, O57), 0)</f>
        <v>0</v>
      </c>
      <c r="O57" s="7" t="str">
        <f>MATCH(TRIM(C57), '📊 COGS'!A:A, 0)</f>
        <v>#N/A</v>
      </c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4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>
        <f t="array" ref="N58">IFERROR(E58 * INDEX('📊 COGS'!B:B, O58), 0)</f>
        <v>0</v>
      </c>
      <c r="O58" s="7" t="str">
        <f>MATCH(TRIM(C58), '📊 COGS'!A:A, 0)</f>
        <v>#N/A</v>
      </c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4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>
        <f t="array" ref="N59">IFERROR(E59 * INDEX('📊 COGS'!B:B, O59), 0)</f>
        <v>0</v>
      </c>
      <c r="O59" s="7" t="str">
        <f>MATCH(TRIM(C59), '📊 COGS'!A:A, 0)</f>
        <v>#N/A</v>
      </c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4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>
        <f t="array" ref="N60">IFERROR(E60 * INDEX('📊 COGS'!B:B, O60), 0)</f>
        <v>0</v>
      </c>
      <c r="O60" s="7" t="str">
        <f>MATCH(TRIM(C60), '📊 COGS'!A:A, 0)</f>
        <v>#N/A</v>
      </c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4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>
        <f t="array" ref="N61">IFERROR(E61 * INDEX('📊 COGS'!B:B, O61), 0)</f>
        <v>0</v>
      </c>
      <c r="O61" s="7" t="str">
        <f>MATCH(TRIM(C61), '📊 COGS'!A:A, 0)</f>
        <v>#N/A</v>
      </c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4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>
        <f t="array" ref="N62">IFERROR(E62 * INDEX('📊 COGS'!B:B, O62), 0)</f>
        <v>0</v>
      </c>
      <c r="O62" s="7" t="str">
        <f>MATCH(TRIM(C62), '📊 COGS'!A:A, 0)</f>
        <v>#N/A</v>
      </c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4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>
        <f t="array" ref="N63">IFERROR(E63 * INDEX('📊 COGS'!B:B, O63), 0)</f>
        <v>0</v>
      </c>
      <c r="O63" s="7" t="str">
        <f>MATCH(TRIM(C63), '📊 COGS'!A:A, 0)</f>
        <v>#N/A</v>
      </c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4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>
        <f t="array" ref="N64">IFERROR(E64 * INDEX('📊 COGS'!B:B, O64), 0)</f>
        <v>0</v>
      </c>
      <c r="O64" s="7" t="str">
        <f>MATCH(TRIM(C64), '📊 COGS'!A:A, 0)</f>
        <v>#N/A</v>
      </c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4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>
        <f t="array" ref="N65">IFERROR(E65 * INDEX('📊 COGS'!B:B, O65), 0)</f>
        <v>0</v>
      </c>
      <c r="O65" s="7" t="str">
        <f>MATCH(TRIM(C65), '📊 COGS'!A:A, 0)</f>
        <v>#N/A</v>
      </c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4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>
        <f t="array" ref="N66">IFERROR(E66 * INDEX('📊 COGS'!B:B, O66), 0)</f>
        <v>0</v>
      </c>
      <c r="O66" s="7" t="str">
        <f>MATCH(TRIM(C66), '📊 COGS'!A:A, 0)</f>
        <v>#N/A</v>
      </c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4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>
        <f t="array" ref="N67">IFERROR(E67 * INDEX('📊 COGS'!B:B, O67), 0)</f>
        <v>0</v>
      </c>
      <c r="O67" s="7" t="str">
        <f>MATCH(TRIM(C67), '📊 COGS'!A:A, 0)</f>
        <v>#N/A</v>
      </c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4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>
        <f t="array" ref="N68">IFERROR(E68 * INDEX('📊 COGS'!B:B, O68), 0)</f>
        <v>0</v>
      </c>
      <c r="O68" s="7" t="str">
        <f>MATCH(TRIM(C68), '📊 COGS'!A:A, 0)</f>
        <v>#N/A</v>
      </c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4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>
        <f t="array" ref="N69">IFERROR(E69 * INDEX('📊 COGS'!B:B, O69), 0)</f>
        <v>0</v>
      </c>
      <c r="O69" s="7" t="str">
        <f>MATCH(TRIM(C69), '📊 COGS'!A:A, 0)</f>
        <v>#N/A</v>
      </c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4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>
        <f t="array" ref="N70">IFERROR(E70 * INDEX('📊 COGS'!B:B, O70), 0)</f>
        <v>0</v>
      </c>
      <c r="O70" s="7" t="str">
        <f>MATCH(TRIM(C70), '📊 COGS'!A:A, 0)</f>
        <v>#N/A</v>
      </c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4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>
        <f t="array" ref="N71">IFERROR(E71 * INDEX('📊 COGS'!B:B, O71), 0)</f>
        <v>0</v>
      </c>
      <c r="O71" s="7" t="str">
        <f>MATCH(TRIM(C71), '📊 COGS'!A:A, 0)</f>
        <v>#N/A</v>
      </c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4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>
        <f t="array" ref="N72">IFERROR(E72 * INDEX('📊 COGS'!B:B, O72), 0)</f>
        <v>0</v>
      </c>
      <c r="O72" s="7" t="str">
        <f>MATCH(TRIM(C72), '📊 COGS'!A:A, 0)</f>
        <v>#N/A</v>
      </c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4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>
        <f t="array" ref="N73">IFERROR(E73 * INDEX('📊 COGS'!B:B, O73), 0)</f>
        <v>0</v>
      </c>
      <c r="O73" s="7" t="str">
        <f>MATCH(TRIM(C73), '📊 COGS'!A:A, 0)</f>
        <v>#N/A</v>
      </c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4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>
        <f t="array" ref="N74">IFERROR(E74 * INDEX('📊 COGS'!B:B, O74), 0)</f>
        <v>0</v>
      </c>
      <c r="O74" s="7" t="str">
        <f>MATCH(TRIM(C74), '📊 COGS'!A:A, 0)</f>
        <v>#N/A</v>
      </c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4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>
        <f t="array" ref="N75">IFERROR(E75 * INDEX('📊 COGS'!B:B, O75), 0)</f>
        <v>0</v>
      </c>
      <c r="O75" s="7" t="str">
        <f>MATCH(TRIM(C75), '📊 COGS'!A:A, 0)</f>
        <v>#N/A</v>
      </c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4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>
        <f t="array" ref="N76">IFERROR(E76 * INDEX('📊 COGS'!B:B, O76), 0)</f>
        <v>0</v>
      </c>
      <c r="O76" s="7" t="str">
        <f>MATCH(TRIM(C76), '📊 COGS'!A:A, 0)</f>
        <v>#N/A</v>
      </c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4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>
        <f t="array" ref="N77">IFERROR(E77 * INDEX('📊 COGS'!B:B, O77), 0)</f>
        <v>0</v>
      </c>
      <c r="O77" s="7" t="str">
        <f>MATCH(TRIM(C77), '📊 COGS'!A:A, 0)</f>
        <v>#N/A</v>
      </c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4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>
        <f t="array" ref="N78">IFERROR(E78 * INDEX('📊 COGS'!B:B, O78), 0)</f>
        <v>0</v>
      </c>
      <c r="O78" s="7" t="str">
        <f>MATCH(TRIM(C78), '📊 COGS'!A:A, 0)</f>
        <v>#N/A</v>
      </c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4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>
        <f t="array" ref="N79">IFERROR(E79 * INDEX('📊 COGS'!B:B, O79), 0)</f>
        <v>0</v>
      </c>
      <c r="O79" s="7" t="str">
        <f>MATCH(TRIM(C79), '📊 COGS'!A:A, 0)</f>
        <v>#N/A</v>
      </c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4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>
        <f t="array" ref="N80">IFERROR(E80 * INDEX('📊 COGS'!B:B, O80), 0)</f>
        <v>0</v>
      </c>
      <c r="O80" s="7" t="str">
        <f>MATCH(TRIM(C80), '📊 COGS'!A:A, 0)</f>
        <v>#N/A</v>
      </c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4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>
        <f t="array" ref="N81">IFERROR(E81 * INDEX('📊 COGS'!B:B, O81), 0)</f>
        <v>0</v>
      </c>
      <c r="O81" s="7" t="str">
        <f>MATCH(TRIM(C81), '📊 COGS'!A:A, 0)</f>
        <v>#N/A</v>
      </c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4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>
        <f t="array" ref="N82">IFERROR(E82 * INDEX('📊 COGS'!B:B, O82), 0)</f>
        <v>0</v>
      </c>
      <c r="O82" s="7" t="str">
        <f>MATCH(TRIM(C82), '📊 COGS'!A:A, 0)</f>
        <v>#N/A</v>
      </c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4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>
        <f t="array" ref="N83">IFERROR(E83 * INDEX('📊 COGS'!B:B, O83), 0)</f>
        <v>0</v>
      </c>
      <c r="O83" s="7" t="str">
        <f>MATCH(TRIM(C83), '📊 COGS'!A:A, 0)</f>
        <v>#N/A</v>
      </c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4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>
        <f t="array" ref="N84">IFERROR(E84 * INDEX('📊 COGS'!B:B, O84), 0)</f>
        <v>0</v>
      </c>
      <c r="O84" s="7" t="str">
        <f>MATCH(TRIM(C84), '📊 COGS'!A:A, 0)</f>
        <v>#N/A</v>
      </c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4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>
        <f t="array" ref="N85">IFERROR(E85 * INDEX('📊 COGS'!B:B, O85), 0)</f>
        <v>0</v>
      </c>
      <c r="O85" s="7" t="str">
        <f>MATCH(TRIM(C85), '📊 COGS'!A:A, 0)</f>
        <v>#N/A</v>
      </c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4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>
        <f t="array" ref="N86">IFERROR(E86 * INDEX('📊 COGS'!B:B, O86), 0)</f>
        <v>0</v>
      </c>
      <c r="O86" s="7" t="str">
        <f>MATCH(TRIM(C86), '📊 COGS'!A:A, 0)</f>
        <v>#N/A</v>
      </c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4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>
        <f t="array" ref="N87">IFERROR(E87 * INDEX('📊 COGS'!B:B, O87), 0)</f>
        <v>0</v>
      </c>
      <c r="O87" s="7" t="str">
        <f>MATCH(TRIM(C87), '📊 COGS'!A:A, 0)</f>
        <v>#N/A</v>
      </c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4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>
        <f t="array" ref="N88">IFERROR(E88 * INDEX('📊 COGS'!B:B, O88), 0)</f>
        <v>0</v>
      </c>
      <c r="O88" s="7" t="str">
        <f>MATCH(TRIM(C88), '📊 COGS'!A:A, 0)</f>
        <v>#N/A</v>
      </c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4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>
        <f t="array" ref="N89">IFERROR(E89 * INDEX('📊 COGS'!B:B, O89), 0)</f>
        <v>0</v>
      </c>
      <c r="O89" s="7" t="str">
        <f>MATCH(TRIM(C89), '📊 COGS'!A:A, 0)</f>
        <v>#N/A</v>
      </c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4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>
        <f t="array" ref="N90">IFERROR(E90 * INDEX('📊 COGS'!B:B, O90), 0)</f>
        <v>0</v>
      </c>
      <c r="O90" s="7" t="str">
        <f>MATCH(TRIM(C90), '📊 COGS'!A:A, 0)</f>
        <v>#N/A</v>
      </c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4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>
        <f t="array" ref="N91">IFERROR(E91 * INDEX('📊 COGS'!B:B, O91), 0)</f>
        <v>0</v>
      </c>
      <c r="O91" s="7" t="str">
        <f>MATCH(TRIM(C91), '📊 COGS'!A:A, 0)</f>
        <v>#N/A</v>
      </c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4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>
        <f t="array" ref="N92">IFERROR(E92 * INDEX('📊 COGS'!B:B, O92), 0)</f>
        <v>0</v>
      </c>
      <c r="O92" s="7" t="str">
        <f>MATCH(TRIM(C92), '📊 COGS'!A:A, 0)</f>
        <v>#N/A</v>
      </c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4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>
        <f t="array" ref="N93">IFERROR(E93 * INDEX('📊 COGS'!B:B, O93), 0)</f>
        <v>0</v>
      </c>
      <c r="O93" s="7" t="str">
        <f>MATCH(TRIM(C93), '📊 COGS'!A:A, 0)</f>
        <v>#N/A</v>
      </c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4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>
        <f t="array" ref="N94">IFERROR(E94 * INDEX('📊 COGS'!B:B, O94), 0)</f>
        <v>0</v>
      </c>
      <c r="O94" s="7" t="str">
        <f>MATCH(TRIM(C94), '📊 COGS'!A:A, 0)</f>
        <v>#N/A</v>
      </c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4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>
        <f t="array" ref="N95">IFERROR(E95 * INDEX('📊 COGS'!B:B, O95), 0)</f>
        <v>0</v>
      </c>
      <c r="O95" s="7" t="str">
        <f>MATCH(TRIM(C95), '📊 COGS'!A:A, 0)</f>
        <v>#N/A</v>
      </c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4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>
        <f t="array" ref="N96">IFERROR(E96 * INDEX('📊 COGS'!B:B, O96), 0)</f>
        <v>0</v>
      </c>
      <c r="O96" s="7" t="str">
        <f>MATCH(TRIM(C96), '📊 COGS'!A:A, 0)</f>
        <v>#N/A</v>
      </c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4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>
        <f t="array" ref="N97">IFERROR(E97 * INDEX('📊 COGS'!B:B, O97), 0)</f>
        <v>0</v>
      </c>
      <c r="O97" s="7" t="str">
        <f>MATCH(TRIM(C97), '📊 COGS'!A:A, 0)</f>
        <v>#N/A</v>
      </c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4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>
        <f t="array" ref="N98">IFERROR(E98 * INDEX('📊 COGS'!B:B, O98), 0)</f>
        <v>0</v>
      </c>
      <c r="O98" s="7" t="str">
        <f>MATCH(TRIM(C98), '📊 COGS'!A:A, 0)</f>
        <v>#N/A</v>
      </c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4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>
        <f t="array" ref="N99">IFERROR(E99 * INDEX('📊 COGS'!B:B, O99), 0)</f>
        <v>0</v>
      </c>
      <c r="O99" s="7" t="str">
        <f>MATCH(TRIM(C99), '📊 COGS'!A:A, 0)</f>
        <v>#N/A</v>
      </c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4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>
        <f t="array" ref="N100">IFERROR(E100 * INDEX('📊 COGS'!B:B, O100), 0)</f>
        <v>0</v>
      </c>
      <c r="O100" s="7" t="str">
        <f>MATCH(TRIM(C100), '📊 COGS'!A:A, 0)</f>
        <v>#N/A</v>
      </c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4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>
        <f t="array" ref="N101">IFERROR(E101 * INDEX('📊 COGS'!B:B, O101), 0)</f>
        <v>0</v>
      </c>
      <c r="O101" s="7" t="str">
        <f>MATCH(TRIM(C101), '📊 COGS'!A:A, 0)</f>
        <v>#N/A</v>
      </c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4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>
        <f t="array" ref="N102">IFERROR(E102 * INDEX('📊 COGS'!B:B, O102), 0)</f>
        <v>0</v>
      </c>
      <c r="O102" s="7" t="str">
        <f>MATCH(TRIM(C102), '📊 COGS'!A:A, 0)</f>
        <v>#N/A</v>
      </c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4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>
        <f t="array" ref="N103">IFERROR(E103 * INDEX('📊 COGS'!B:B, O103), 0)</f>
        <v>0</v>
      </c>
      <c r="O103" s="7" t="str">
        <f>MATCH(TRIM(C103), '📊 COGS'!A:A, 0)</f>
        <v>#N/A</v>
      </c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4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>
        <f t="array" ref="N104">IFERROR(E104 * INDEX('📊 COGS'!B:B, O104), 0)</f>
        <v>0</v>
      </c>
      <c r="O104" s="7" t="str">
        <f>MATCH(TRIM(C104), '📊 COGS'!A:A, 0)</f>
        <v>#N/A</v>
      </c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4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>
        <f t="array" ref="N105">IFERROR(E105 * INDEX('📊 COGS'!B:B, O105), 0)</f>
        <v>0</v>
      </c>
      <c r="O105" s="7" t="str">
        <f>MATCH(TRIM(C105), '📊 COGS'!A:A, 0)</f>
        <v>#N/A</v>
      </c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4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>
        <f t="array" ref="N106">IFERROR(E106 * INDEX('📊 COGS'!B:B, O106), 0)</f>
        <v>0</v>
      </c>
      <c r="O106" s="7" t="str">
        <f>MATCH(TRIM(C106), '📊 COGS'!A:A, 0)</f>
        <v>#N/A</v>
      </c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4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>
        <f t="array" ref="N107">IFERROR(E107 * INDEX('📊 COGS'!B:B, O107), 0)</f>
        <v>0</v>
      </c>
      <c r="O107" s="7" t="str">
        <f>MATCH(TRIM(C107), '📊 COGS'!A:A, 0)</f>
        <v>#N/A</v>
      </c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4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>
        <f t="array" ref="N108">IFERROR(E108 * INDEX('📊 COGS'!B:B, O108), 0)</f>
        <v>0</v>
      </c>
      <c r="O108" s="7" t="str">
        <f>MATCH(TRIM(C108), '📊 COGS'!A:A, 0)</f>
        <v>#N/A</v>
      </c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4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>
        <f t="array" ref="N109">IFERROR(E109 * INDEX('📊 COGS'!B:B, O109), 0)</f>
        <v>0</v>
      </c>
      <c r="O109" s="7" t="str">
        <f>MATCH(TRIM(C109), '📊 COGS'!A:A, 0)</f>
        <v>#N/A</v>
      </c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4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>
        <f t="array" ref="N110">IFERROR(E110 * INDEX('📊 COGS'!B:B, O110), 0)</f>
        <v>0</v>
      </c>
      <c r="O110" s="7" t="str">
        <f>MATCH(TRIM(C110), '📊 COGS'!A:A, 0)</f>
        <v>#N/A</v>
      </c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4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>
        <f t="array" ref="N111">IFERROR(E111 * INDEX('📊 COGS'!B:B, O111), 0)</f>
        <v>0</v>
      </c>
      <c r="O111" s="7" t="str">
        <f>MATCH(TRIM(C111), '📊 COGS'!A:A, 0)</f>
        <v>#N/A</v>
      </c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4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>
        <f t="array" ref="N112">IFERROR(E112 * INDEX('📊 COGS'!B:B, O112), 0)</f>
        <v>0</v>
      </c>
      <c r="O112" s="7" t="str">
        <f>MATCH(TRIM(C112), '📊 COGS'!A:A, 0)</f>
        <v>#N/A</v>
      </c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4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>
        <f t="array" ref="N113">IFERROR(E113 * INDEX('📊 COGS'!B:B, O113), 0)</f>
        <v>0</v>
      </c>
      <c r="O113" s="7" t="str">
        <f>MATCH(TRIM(C113), '📊 COGS'!A:A, 0)</f>
        <v>#N/A</v>
      </c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4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>
        <f t="array" ref="N114">IFERROR(E114 * INDEX('📊 COGS'!B:B, O114), 0)</f>
        <v>0</v>
      </c>
      <c r="O114" s="7" t="str">
        <f>MATCH(TRIM(C114), '📊 COGS'!A:A, 0)</f>
        <v>#N/A</v>
      </c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4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>
        <f t="array" ref="N115">IFERROR(E115 * INDEX('📊 COGS'!B:B, O115), 0)</f>
        <v>0</v>
      </c>
      <c r="O115" s="7" t="str">
        <f>MATCH(TRIM(C115), '📊 COGS'!A:A, 0)</f>
        <v>#N/A</v>
      </c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4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>
        <f t="array" ref="N116">IFERROR(E116 * INDEX('📊 COGS'!B:B, O116), 0)</f>
        <v>0</v>
      </c>
      <c r="O116" s="7" t="str">
        <f>MATCH(TRIM(C116), '📊 COGS'!A:A, 0)</f>
        <v>#N/A</v>
      </c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4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>
        <f t="array" ref="N117">IFERROR(E117 * INDEX('📊 COGS'!B:B, O117), 0)</f>
        <v>0</v>
      </c>
      <c r="O117" s="7" t="str">
        <f>MATCH(TRIM(C117), '📊 COGS'!A:A, 0)</f>
        <v>#N/A</v>
      </c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4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>
        <f t="array" ref="N118">IFERROR(E118 * INDEX('📊 COGS'!B:B, O118), 0)</f>
        <v>0</v>
      </c>
      <c r="O118" s="7" t="str">
        <f>MATCH(TRIM(C118), '📊 COGS'!A:A, 0)</f>
        <v>#N/A</v>
      </c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4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>
        <f t="array" ref="N119">IFERROR(E119 * INDEX('📊 COGS'!B:B, O119), 0)</f>
        <v>0</v>
      </c>
      <c r="O119" s="7" t="str">
        <f>MATCH(TRIM(C119), '📊 COGS'!A:A, 0)</f>
        <v>#N/A</v>
      </c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4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>
        <f t="array" ref="N120">IFERROR(E120 * INDEX('📊 COGS'!B:B, O120), 0)</f>
        <v>0</v>
      </c>
      <c r="O120" s="7" t="str">
        <f>MATCH(TRIM(C120), '📊 COGS'!A:A, 0)</f>
        <v>#N/A</v>
      </c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4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>
        <f t="array" ref="N121">IFERROR(E121 * INDEX('📊 COGS'!B:B, O121), 0)</f>
        <v>0</v>
      </c>
      <c r="O121" s="7" t="str">
        <f>MATCH(TRIM(C121), '📊 COGS'!A:A, 0)</f>
        <v>#N/A</v>
      </c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4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>
        <f t="array" ref="N122">IFERROR(E122 * INDEX('📊 COGS'!B:B, O122), 0)</f>
        <v>0</v>
      </c>
      <c r="O122" s="7" t="str">
        <f>MATCH(TRIM(C122), '📊 COGS'!A:A, 0)</f>
        <v>#N/A</v>
      </c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4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>
        <f t="array" ref="N123">IFERROR(E123 * INDEX('📊 COGS'!B:B, O123), 0)</f>
        <v>0</v>
      </c>
      <c r="O123" s="7" t="str">
        <f>MATCH(TRIM(C123), '📊 COGS'!A:A, 0)</f>
        <v>#N/A</v>
      </c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4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>
        <f t="array" ref="N124">IFERROR(E124 * INDEX('📊 COGS'!B:B, O124), 0)</f>
        <v>0</v>
      </c>
      <c r="O124" s="7" t="str">
        <f>MATCH(TRIM(C124), '📊 COGS'!A:A, 0)</f>
        <v>#N/A</v>
      </c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4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>
        <f t="array" ref="N125">IFERROR(E125 * INDEX('📊 COGS'!B:B, O125), 0)</f>
        <v>0</v>
      </c>
      <c r="O125" s="7" t="str">
        <f>MATCH(TRIM(C125), '📊 COGS'!A:A, 0)</f>
        <v>#N/A</v>
      </c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4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>
        <f t="array" ref="N126">IFERROR(E126 * INDEX('📊 COGS'!B:B, O126), 0)</f>
        <v>0</v>
      </c>
      <c r="O126" s="7" t="str">
        <f>MATCH(TRIM(C126), '📊 COGS'!A:A, 0)</f>
        <v>#N/A</v>
      </c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4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>
        <f t="array" ref="N127">IFERROR(E127 * INDEX('📊 COGS'!B:B, O127), 0)</f>
        <v>0</v>
      </c>
      <c r="O127" s="7" t="str">
        <f>MATCH(TRIM(C127), '📊 COGS'!A:A, 0)</f>
        <v>#N/A</v>
      </c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4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>
        <f t="array" ref="N128">IFERROR(E128 * INDEX('📊 COGS'!B:B, O128), 0)</f>
        <v>0</v>
      </c>
      <c r="O128" s="7" t="str">
        <f>MATCH(TRIM(C128), '📊 COGS'!A:A, 0)</f>
        <v>#N/A</v>
      </c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4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>
        <f t="array" ref="N129">IFERROR(E129 * INDEX('📊 COGS'!B:B, O129), 0)</f>
        <v>0</v>
      </c>
      <c r="O129" s="7" t="str">
        <f>MATCH(TRIM(C129), '📊 COGS'!A:A, 0)</f>
        <v>#N/A</v>
      </c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4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>
        <f t="array" ref="N130">IFERROR(E130 * INDEX('📊 COGS'!B:B, O130), 0)</f>
        <v>0</v>
      </c>
      <c r="O130" s="7" t="str">
        <f>MATCH(TRIM(C130), '📊 COGS'!A:A, 0)</f>
        <v>#N/A</v>
      </c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4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>
        <f t="array" ref="N131">IFERROR(E131 * INDEX('📊 COGS'!B:B, O131), 0)</f>
        <v>0</v>
      </c>
      <c r="O131" s="7" t="str">
        <f>MATCH(TRIM(C131), '📊 COGS'!A:A, 0)</f>
        <v>#N/A</v>
      </c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4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>
        <f t="array" ref="N132">IFERROR(E132 * INDEX('📊 COGS'!B:B, O132), 0)</f>
        <v>0</v>
      </c>
      <c r="O132" s="7" t="str">
        <f>MATCH(TRIM(C132), '📊 COGS'!A:A, 0)</f>
        <v>#N/A</v>
      </c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4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>
        <f t="array" ref="N133">IFERROR(E133 * INDEX('📊 COGS'!B:B, O133), 0)</f>
        <v>0</v>
      </c>
      <c r="O133" s="7" t="str">
        <f>MATCH(TRIM(C133), '📊 COGS'!A:A, 0)</f>
        <v>#N/A</v>
      </c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4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>
        <f t="array" ref="N134">IFERROR(E134 * INDEX('📊 COGS'!B:B, O134), 0)</f>
        <v>0</v>
      </c>
      <c r="O134" s="7" t="str">
        <f>MATCH(TRIM(C134), '📊 COGS'!A:A, 0)</f>
        <v>#N/A</v>
      </c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4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>
        <f t="array" ref="N135">IFERROR(E135 * INDEX('📊 COGS'!B:B, O135), 0)</f>
        <v>0</v>
      </c>
      <c r="O135" s="7" t="str">
        <f>MATCH(TRIM(C135), '📊 COGS'!A:A, 0)</f>
        <v>#N/A</v>
      </c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4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>
        <f t="array" ref="N136">IFERROR(E136 * INDEX('📊 COGS'!B:B, O136), 0)</f>
        <v>0</v>
      </c>
      <c r="O136" s="7" t="str">
        <f>MATCH(TRIM(C136), '📊 COGS'!A:A, 0)</f>
        <v>#N/A</v>
      </c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4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>
        <f t="array" ref="N137">IFERROR(E137 * INDEX('📊 COGS'!B:B, O137), 0)</f>
        <v>0</v>
      </c>
      <c r="O137" s="7" t="str">
        <f>MATCH(TRIM(C137), '📊 COGS'!A:A, 0)</f>
        <v>#N/A</v>
      </c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4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>
        <f t="array" ref="N138">IFERROR(E138 * INDEX('📊 COGS'!B:B, O138), 0)</f>
        <v>0</v>
      </c>
      <c r="O138" s="7" t="str">
        <f>MATCH(TRIM(C138), '📊 COGS'!A:A, 0)</f>
        <v>#N/A</v>
      </c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4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>
        <f t="array" ref="N139">IFERROR(E139 * INDEX('📊 COGS'!B:B, O139), 0)</f>
        <v>0</v>
      </c>
      <c r="O139" s="7" t="str">
        <f>MATCH(TRIM(C139), '📊 COGS'!A:A, 0)</f>
        <v>#N/A</v>
      </c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4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>
        <f t="array" ref="N140">IFERROR(E140 * INDEX('📊 COGS'!B:B, O140), 0)</f>
        <v>0</v>
      </c>
      <c r="O140" s="7" t="str">
        <f>MATCH(TRIM(C140), '📊 COGS'!A:A, 0)</f>
        <v>#N/A</v>
      </c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4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>
        <f t="array" ref="N141">IFERROR(E141 * INDEX('📊 COGS'!B:B, O141), 0)</f>
        <v>0</v>
      </c>
      <c r="O141" s="7" t="str">
        <f>MATCH(TRIM(C141), '📊 COGS'!A:A, 0)</f>
        <v>#N/A</v>
      </c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4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>
        <f t="array" ref="N142">IFERROR(E142 * INDEX('📊 COGS'!B:B, O142), 0)</f>
        <v>0</v>
      </c>
      <c r="O142" s="7" t="str">
        <f>MATCH(TRIM(C142), '📊 COGS'!A:A, 0)</f>
        <v>#N/A</v>
      </c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4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>
        <f t="array" ref="N143">IFERROR(E143 * INDEX('📊 COGS'!B:B, O143), 0)</f>
        <v>0</v>
      </c>
      <c r="O143" s="7" t="str">
        <f>MATCH(TRIM(C143), '📊 COGS'!A:A, 0)</f>
        <v>#N/A</v>
      </c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4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>
        <f t="array" ref="N144">IFERROR(E144 * INDEX('📊 COGS'!B:B, O144), 0)</f>
        <v>0</v>
      </c>
      <c r="O144" s="7" t="str">
        <f>MATCH(TRIM(C144), '📊 COGS'!A:A, 0)</f>
        <v>#N/A</v>
      </c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4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>
        <f t="array" ref="N145">IFERROR(E145 * INDEX('📊 COGS'!B:B, O145), 0)</f>
        <v>0</v>
      </c>
      <c r="O145" s="7" t="str">
        <f>MATCH(TRIM(C145), '📊 COGS'!A:A, 0)</f>
        <v>#N/A</v>
      </c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4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>
        <f t="array" ref="N146">IFERROR(E146 * INDEX('📊 COGS'!B:B, O146), 0)</f>
        <v>0</v>
      </c>
      <c r="O146" s="7" t="str">
        <f>MATCH(TRIM(C146), '📊 COGS'!A:A, 0)</f>
        <v>#N/A</v>
      </c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4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>
        <f t="array" ref="N147">IFERROR(E147 * INDEX('📊 COGS'!B:B, O147), 0)</f>
        <v>0</v>
      </c>
      <c r="O147" s="7" t="str">
        <f>MATCH(TRIM(C147), '📊 COGS'!A:A, 0)</f>
        <v>#N/A</v>
      </c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4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>
        <f t="array" ref="N148">IFERROR(E148 * INDEX('📊 COGS'!B:B, O148), 0)</f>
        <v>0</v>
      </c>
      <c r="O148" s="7" t="str">
        <f>MATCH(TRIM(C148), '📊 COGS'!A:A, 0)</f>
        <v>#N/A</v>
      </c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4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>
        <f t="array" ref="N149">IFERROR(E149 * INDEX('📊 COGS'!B:B, O149), 0)</f>
        <v>0</v>
      </c>
      <c r="O149" s="7" t="str">
        <f>MATCH(TRIM(C149), '📊 COGS'!A:A, 0)</f>
        <v>#N/A</v>
      </c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4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>
        <f t="array" ref="N150">IFERROR(E150 * INDEX('📊 COGS'!B:B, O150), 0)</f>
        <v>0</v>
      </c>
      <c r="O150" s="7" t="str">
        <f>MATCH(TRIM(C150), '📊 COGS'!A:A, 0)</f>
        <v>#N/A</v>
      </c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4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>
        <f t="array" ref="N151">IFERROR(E151 * INDEX('📊 COGS'!B:B, O151), 0)</f>
        <v>0</v>
      </c>
      <c r="O151" s="7" t="str">
        <f>MATCH(TRIM(C151), '📊 COGS'!A:A, 0)</f>
        <v>#N/A</v>
      </c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4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>
        <f t="array" ref="N152">IFERROR(E152 * INDEX('📊 COGS'!B:B, O152), 0)</f>
        <v>0</v>
      </c>
      <c r="O152" s="7" t="str">
        <f>MATCH(TRIM(C152), '📊 COGS'!A:A, 0)</f>
        <v>#N/A</v>
      </c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4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>
        <f t="array" ref="N153">IFERROR(E153 * INDEX('📊 COGS'!B:B, O153), 0)</f>
        <v>0</v>
      </c>
      <c r="O153" s="7" t="str">
        <f>MATCH(TRIM(C153), '📊 COGS'!A:A, 0)</f>
        <v>#N/A</v>
      </c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4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>
        <f t="array" ref="N154">IFERROR(E154 * INDEX('📊 COGS'!B:B, O154), 0)</f>
        <v>0</v>
      </c>
      <c r="O154" s="7" t="str">
        <f>MATCH(TRIM(C154), '📊 COGS'!A:A, 0)</f>
        <v>#N/A</v>
      </c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4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>
        <f t="array" ref="N155">IFERROR(E155 * INDEX('📊 COGS'!B:B, O155), 0)</f>
        <v>0</v>
      </c>
      <c r="O155" s="7" t="str">
        <f>MATCH(TRIM(C155), '📊 COGS'!A:A, 0)</f>
        <v>#N/A</v>
      </c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4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>
        <f t="array" ref="N156">IFERROR(E156 * INDEX('📊 COGS'!B:B, O156), 0)</f>
        <v>0</v>
      </c>
      <c r="O156" s="7" t="str">
        <f>MATCH(TRIM(C156), '📊 COGS'!A:A, 0)</f>
        <v>#N/A</v>
      </c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4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>
        <f t="array" ref="N157">IFERROR(E157 * INDEX('📊 COGS'!B:B, O157), 0)</f>
        <v>0</v>
      </c>
      <c r="O157" s="7" t="str">
        <f>MATCH(TRIM(C157), '📊 COGS'!A:A, 0)</f>
        <v>#N/A</v>
      </c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4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>
        <f t="array" ref="N158">IFERROR(E158 * INDEX('📊 COGS'!B:B, O158), 0)</f>
        <v>0</v>
      </c>
      <c r="O158" s="7" t="str">
        <f>MATCH(TRIM(C158), '📊 COGS'!A:A, 0)</f>
        <v>#N/A</v>
      </c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4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>
        <f t="array" ref="N159">IFERROR(E159 * INDEX('📊 COGS'!B:B, O159), 0)</f>
        <v>0</v>
      </c>
      <c r="O159" s="7" t="str">
        <f>MATCH(TRIM(C159), '📊 COGS'!A:A, 0)</f>
        <v>#N/A</v>
      </c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4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>
        <f t="array" ref="N160">IFERROR(E160 * INDEX('📊 COGS'!B:B, O160), 0)</f>
        <v>0</v>
      </c>
      <c r="O160" s="7" t="str">
        <f>MATCH(TRIM(C160), '📊 COGS'!A:A, 0)</f>
        <v>#N/A</v>
      </c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4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>
        <f t="array" ref="N161">IFERROR(E161 * INDEX('📊 COGS'!B:B, O161), 0)</f>
        <v>0</v>
      </c>
      <c r="O161" s="7" t="str">
        <f>MATCH(TRIM(C161), '📊 COGS'!A:A, 0)</f>
        <v>#N/A</v>
      </c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4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>
        <f t="array" ref="N162">IFERROR(E162 * INDEX('📊 COGS'!B:B, O162), 0)</f>
        <v>0</v>
      </c>
      <c r="O162" s="7" t="str">
        <f>MATCH(TRIM(C162), '📊 COGS'!A:A, 0)</f>
        <v>#N/A</v>
      </c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4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>
        <f t="array" ref="N163">IFERROR(E163 * INDEX('📊 COGS'!B:B, O163), 0)</f>
        <v>0</v>
      </c>
      <c r="O163" s="7" t="str">
        <f>MATCH(TRIM(C163), '📊 COGS'!A:A, 0)</f>
        <v>#N/A</v>
      </c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4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>
        <f t="array" ref="N164">IFERROR(E164 * INDEX('📊 COGS'!B:B, O164), 0)</f>
        <v>0</v>
      </c>
      <c r="O164" s="7" t="str">
        <f>MATCH(TRIM(C164), '📊 COGS'!A:A, 0)</f>
        <v>#N/A</v>
      </c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4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>
        <f t="array" ref="N165">IFERROR(E165 * INDEX('📊 COGS'!B:B, O165), 0)</f>
        <v>0</v>
      </c>
      <c r="O165" s="7" t="str">
        <f>MATCH(TRIM(C165), '📊 COGS'!A:A, 0)</f>
        <v>#N/A</v>
      </c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4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>
        <f t="array" ref="N166">IFERROR(E166 * INDEX('📊 COGS'!B:B, O166), 0)</f>
        <v>0</v>
      </c>
      <c r="O166" s="7" t="str">
        <f>MATCH(TRIM(C166), '📊 COGS'!A:A, 0)</f>
        <v>#N/A</v>
      </c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4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>
        <f t="array" ref="N167">IFERROR(E167 * INDEX('📊 COGS'!B:B, O167), 0)</f>
        <v>0</v>
      </c>
      <c r="O167" s="7" t="str">
        <f>MATCH(TRIM(C167), '📊 COGS'!A:A, 0)</f>
        <v>#N/A</v>
      </c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4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>
        <f t="array" ref="N168">IFERROR(E168 * INDEX('📊 COGS'!B:B, O168), 0)</f>
        <v>0</v>
      </c>
      <c r="O168" s="7" t="str">
        <f>MATCH(TRIM(C168), '📊 COGS'!A:A, 0)</f>
        <v>#N/A</v>
      </c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4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>
        <f t="array" ref="N169">IFERROR(E169 * INDEX('📊 COGS'!B:B, O169), 0)</f>
        <v>0</v>
      </c>
      <c r="O169" s="7" t="str">
        <f>MATCH(TRIM(C169), '📊 COGS'!A:A, 0)</f>
        <v>#N/A</v>
      </c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4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>
        <f t="array" ref="N170">IFERROR(E170 * INDEX('📊 COGS'!B:B, O170), 0)</f>
        <v>0</v>
      </c>
      <c r="O170" s="7" t="str">
        <f>MATCH(TRIM(C170), '📊 COGS'!A:A, 0)</f>
        <v>#N/A</v>
      </c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4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>
        <f t="array" ref="N171">IFERROR(E171 * INDEX('📊 COGS'!B:B, O171), 0)</f>
        <v>0</v>
      </c>
      <c r="O171" s="7" t="str">
        <f>MATCH(TRIM(C171), '📊 COGS'!A:A, 0)</f>
        <v>#N/A</v>
      </c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4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>
        <f t="array" ref="N172">IFERROR(E172 * INDEX('📊 COGS'!B:B, O172), 0)</f>
        <v>0</v>
      </c>
      <c r="O172" s="7" t="str">
        <f>MATCH(TRIM(C172), '📊 COGS'!A:A, 0)</f>
        <v>#N/A</v>
      </c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4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>
        <f t="array" ref="N173">IFERROR(E173 * INDEX('📊 COGS'!B:B, O173), 0)</f>
        <v>0</v>
      </c>
      <c r="O173" s="7" t="str">
        <f>MATCH(TRIM(C173), '📊 COGS'!A:A, 0)</f>
        <v>#N/A</v>
      </c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4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>
        <f t="array" ref="N174">IFERROR(E174 * INDEX('📊 COGS'!B:B, O174), 0)</f>
        <v>0</v>
      </c>
      <c r="O174" s="7" t="str">
        <f>MATCH(TRIM(C174), '📊 COGS'!A:A, 0)</f>
        <v>#N/A</v>
      </c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4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>
        <f t="array" ref="N175">IFERROR(E175 * INDEX('📊 COGS'!B:B, O175), 0)</f>
        <v>0</v>
      </c>
      <c r="O175" s="7" t="str">
        <f>MATCH(TRIM(C175), '📊 COGS'!A:A, 0)</f>
        <v>#N/A</v>
      </c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4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>
        <f t="array" ref="N176">IFERROR(E176 * INDEX('📊 COGS'!B:B, O176), 0)</f>
        <v>0</v>
      </c>
      <c r="O176" s="7" t="str">
        <f>MATCH(TRIM(C176), '📊 COGS'!A:A, 0)</f>
        <v>#N/A</v>
      </c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4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>
        <f t="array" ref="N177">IFERROR(E177 * INDEX('📊 COGS'!B:B, O177), 0)</f>
        <v>0</v>
      </c>
      <c r="O177" s="7" t="str">
        <f>MATCH(TRIM(C177), '📊 COGS'!A:A, 0)</f>
        <v>#N/A</v>
      </c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4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>
        <f t="array" ref="N178">IFERROR(E178 * INDEX('📊 COGS'!B:B, O178), 0)</f>
        <v>0</v>
      </c>
      <c r="O178" s="7" t="str">
        <f>MATCH(TRIM(C178), '📊 COGS'!A:A, 0)</f>
        <v>#N/A</v>
      </c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4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>
        <f t="array" ref="N179">IFERROR(E179 * INDEX('📊 COGS'!B:B, O179), 0)</f>
        <v>0</v>
      </c>
      <c r="O179" s="7" t="str">
        <f>MATCH(TRIM(C179), '📊 COGS'!A:A, 0)</f>
        <v>#N/A</v>
      </c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4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>
        <f t="array" ref="N180">IFERROR(E180 * INDEX('📊 COGS'!B:B, O180), 0)</f>
        <v>0</v>
      </c>
      <c r="O180" s="7" t="str">
        <f>MATCH(TRIM(C180), '📊 COGS'!A:A, 0)</f>
        <v>#N/A</v>
      </c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4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>
        <f t="array" ref="N181">IFERROR(E181 * INDEX('📊 COGS'!B:B, O181), 0)</f>
        <v>0</v>
      </c>
      <c r="O181" s="7" t="str">
        <f>MATCH(TRIM(C181), '📊 COGS'!A:A, 0)</f>
        <v>#N/A</v>
      </c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4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>
        <f t="array" ref="N182">IFERROR(E182 * INDEX('📊 COGS'!B:B, O182), 0)</f>
        <v>0</v>
      </c>
      <c r="O182" s="7" t="str">
        <f>MATCH(TRIM(C182), '📊 COGS'!A:A, 0)</f>
        <v>#N/A</v>
      </c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4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>
        <f t="array" ref="N183">IFERROR(E183 * INDEX('📊 COGS'!B:B, O183), 0)</f>
        <v>0</v>
      </c>
      <c r="O183" s="7" t="str">
        <f>MATCH(TRIM(C183), '📊 COGS'!A:A, 0)</f>
        <v>#N/A</v>
      </c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4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>
        <f t="array" ref="N184">IFERROR(E184 * INDEX('📊 COGS'!B:B, O184), 0)</f>
        <v>0</v>
      </c>
      <c r="O184" s="7" t="str">
        <f>MATCH(TRIM(C184), '📊 COGS'!A:A, 0)</f>
        <v>#N/A</v>
      </c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4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>
        <f t="array" ref="N185">IFERROR(E185 * INDEX('📊 COGS'!B:B, O185), 0)</f>
        <v>0</v>
      </c>
      <c r="O185" s="7" t="str">
        <f>MATCH(TRIM(C185), '📊 COGS'!A:A, 0)</f>
        <v>#N/A</v>
      </c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4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>
        <f t="array" ref="N186">IFERROR(E186 * INDEX('📊 COGS'!B:B, O186), 0)</f>
        <v>0</v>
      </c>
      <c r="O186" s="7" t="str">
        <f>MATCH(TRIM(C186), '📊 COGS'!A:A, 0)</f>
        <v>#N/A</v>
      </c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4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>
        <f t="array" ref="N187">IFERROR(E187 * INDEX('📊 COGS'!B:B, O187), 0)</f>
        <v>0</v>
      </c>
      <c r="O187" s="7" t="str">
        <f>MATCH(TRIM(C187), '📊 COGS'!A:A, 0)</f>
        <v>#N/A</v>
      </c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4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>
        <f t="array" ref="N188">IFERROR(E188 * INDEX('📊 COGS'!B:B, O188), 0)</f>
        <v>0</v>
      </c>
      <c r="O188" s="7" t="str">
        <f>MATCH(TRIM(C188), '📊 COGS'!A:A, 0)</f>
        <v>#N/A</v>
      </c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4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>
        <f t="array" ref="N189">IFERROR(E189 * INDEX('📊 COGS'!B:B, O189), 0)</f>
        <v>0</v>
      </c>
      <c r="O189" s="7" t="str">
        <f>MATCH(TRIM(C189), '📊 COGS'!A:A, 0)</f>
        <v>#N/A</v>
      </c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4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>
        <f t="array" ref="N190">IFERROR(E190 * INDEX('📊 COGS'!B:B, O190), 0)</f>
        <v>0</v>
      </c>
      <c r="O190" s="7" t="str">
        <f>MATCH(TRIM(C190), '📊 COGS'!A:A, 0)</f>
        <v>#N/A</v>
      </c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4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>
        <f t="array" ref="N191">IFERROR(E191 * INDEX('📊 COGS'!B:B, O191), 0)</f>
        <v>0</v>
      </c>
      <c r="O191" s="7" t="str">
        <f>MATCH(TRIM(C191), '📊 COGS'!A:A, 0)</f>
        <v>#N/A</v>
      </c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4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>
        <f t="array" ref="N192">IFERROR(E192 * INDEX('📊 COGS'!B:B, O192), 0)</f>
        <v>0</v>
      </c>
      <c r="O192" s="7" t="str">
        <f>MATCH(TRIM(C192), '📊 COGS'!A:A, 0)</f>
        <v>#N/A</v>
      </c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4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>
        <f t="array" ref="N193">IFERROR(E193 * INDEX('📊 COGS'!B:B, O193), 0)</f>
        <v>0</v>
      </c>
      <c r="O193" s="7" t="str">
        <f>MATCH(TRIM(C193), '📊 COGS'!A:A, 0)</f>
        <v>#N/A</v>
      </c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4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>
        <f t="array" ref="N194">IFERROR(E194 * INDEX('📊 COGS'!B:B, O194), 0)</f>
        <v>0</v>
      </c>
      <c r="O194" s="7" t="str">
        <f>MATCH(TRIM(C194), '📊 COGS'!A:A, 0)</f>
        <v>#N/A</v>
      </c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4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>
        <f t="array" ref="N195">IFERROR(E195 * INDEX('📊 COGS'!B:B, O195), 0)</f>
        <v>0</v>
      </c>
      <c r="O195" s="7" t="str">
        <f>MATCH(TRIM(C195), '📊 COGS'!A:A, 0)</f>
        <v>#N/A</v>
      </c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4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>
        <f t="array" ref="N196">IFERROR(E196 * INDEX('📊 COGS'!B:B, O196), 0)</f>
        <v>0</v>
      </c>
      <c r="O196" s="7" t="str">
        <f>MATCH(TRIM(C196), '📊 COGS'!A:A, 0)</f>
        <v>#N/A</v>
      </c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4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>
        <f t="array" ref="N197">IFERROR(E197 * INDEX('📊 COGS'!B:B, O197), 0)</f>
        <v>0</v>
      </c>
      <c r="O197" s="7" t="str">
        <f>MATCH(TRIM(C197), '📊 COGS'!A:A, 0)</f>
        <v>#N/A</v>
      </c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4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>
        <f t="array" ref="N198">IFERROR(E198 * INDEX('📊 COGS'!B:B, O198), 0)</f>
        <v>0</v>
      </c>
      <c r="O198" s="7" t="str">
        <f>MATCH(TRIM(C198), '📊 COGS'!A:A, 0)</f>
        <v>#N/A</v>
      </c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4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>
        <f t="array" ref="N199">IFERROR(E199 * INDEX('📊 COGS'!B:B, O199), 0)</f>
        <v>0</v>
      </c>
      <c r="O199" s="7" t="str">
        <f>MATCH(TRIM(C199), '📊 COGS'!A:A, 0)</f>
        <v>#N/A</v>
      </c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4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>
        <f t="array" ref="N200">IFERROR(E200 * INDEX('📊 COGS'!B:B, O200), 0)</f>
        <v>0</v>
      </c>
      <c r="O200" s="7" t="str">
        <f>MATCH(TRIM(C200), '📊 COGS'!A:A, 0)</f>
        <v>#N/A</v>
      </c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4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>
        <f t="array" ref="N201">IFERROR(E201 * INDEX('📊 COGS'!B:B, O201), 0)</f>
        <v>0</v>
      </c>
      <c r="O201" s="7" t="str">
        <f>MATCH(TRIM(C201), '📊 COGS'!A:A, 0)</f>
        <v>#N/A</v>
      </c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4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>
        <f t="array" ref="N202">IFERROR(E202 * INDEX('📊 COGS'!B:B, O202), 0)</f>
        <v>0</v>
      </c>
      <c r="O202" s="7" t="str">
        <f>MATCH(TRIM(C202), '📊 COGS'!A:A, 0)</f>
        <v>#N/A</v>
      </c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4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>
        <f t="array" ref="N203">IFERROR(E203 * INDEX('📊 COGS'!B:B, O203), 0)</f>
        <v>0</v>
      </c>
      <c r="O203" s="7" t="str">
        <f>MATCH(TRIM(C203), '📊 COGS'!A:A, 0)</f>
        <v>#N/A</v>
      </c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4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>
        <f t="array" ref="N204">IFERROR(E204 * INDEX('📊 COGS'!B:B, O204), 0)</f>
        <v>0</v>
      </c>
      <c r="O204" s="7" t="str">
        <f>MATCH(TRIM(C204), '📊 COGS'!A:A, 0)</f>
        <v>#N/A</v>
      </c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4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>
        <f t="array" ref="N205">IFERROR(E205 * INDEX('📊 COGS'!B:B, O205), 0)</f>
        <v>0</v>
      </c>
      <c r="O205" s="7" t="str">
        <f>MATCH(TRIM(C205), '📊 COGS'!A:A, 0)</f>
        <v>#N/A</v>
      </c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4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>
        <f t="array" ref="N206">IFERROR(E206 * INDEX('📊 COGS'!B:B, O206), 0)</f>
        <v>0</v>
      </c>
      <c r="O206" s="7" t="str">
        <f>MATCH(TRIM(C206), '📊 COGS'!A:A, 0)</f>
        <v>#N/A</v>
      </c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4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>
        <f t="array" ref="N207">IFERROR(E207 * INDEX('📊 COGS'!B:B, O207), 0)</f>
        <v>0</v>
      </c>
      <c r="O207" s="7" t="str">
        <f>MATCH(TRIM(C207), '📊 COGS'!A:A, 0)</f>
        <v>#N/A</v>
      </c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4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>
        <f t="array" ref="N208">IFERROR(E208 * INDEX('📊 COGS'!B:B, O208), 0)</f>
        <v>0</v>
      </c>
      <c r="O208" s="7" t="str">
        <f>MATCH(TRIM(C208), '📊 COGS'!A:A, 0)</f>
        <v>#N/A</v>
      </c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4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>
        <f t="array" ref="N209">IFERROR(E209 * INDEX('📊 COGS'!B:B, O209), 0)</f>
        <v>0</v>
      </c>
      <c r="O209" s="7" t="str">
        <f>MATCH(TRIM(C209), '📊 COGS'!A:A, 0)</f>
        <v>#N/A</v>
      </c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4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>
        <f t="array" ref="N210">IFERROR(E210 * INDEX('📊 COGS'!B:B, O210), 0)</f>
        <v>0</v>
      </c>
      <c r="O210" s="7" t="str">
        <f>MATCH(TRIM(C210), '📊 COGS'!A:A, 0)</f>
        <v>#N/A</v>
      </c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4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>
        <f t="array" ref="N211">IFERROR(E211 * INDEX('📊 COGS'!B:B, O211), 0)</f>
        <v>0</v>
      </c>
      <c r="O211" s="7" t="str">
        <f>MATCH(TRIM(C211), '📊 COGS'!A:A, 0)</f>
        <v>#N/A</v>
      </c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4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>
        <f t="array" ref="N212">IFERROR(E212 * INDEX('📊 COGS'!B:B, O212), 0)</f>
        <v>0</v>
      </c>
      <c r="O212" s="7" t="str">
        <f>MATCH(TRIM(C212), '📊 COGS'!A:A, 0)</f>
        <v>#N/A</v>
      </c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4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>
        <f t="array" ref="N213">IFERROR(E213 * INDEX('📊 COGS'!B:B, O213), 0)</f>
        <v>0</v>
      </c>
      <c r="O213" s="7" t="str">
        <f>MATCH(TRIM(C213), '📊 COGS'!A:A, 0)</f>
        <v>#N/A</v>
      </c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4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>
        <f t="array" ref="N214">IFERROR(E214 * INDEX('📊 COGS'!B:B, O214), 0)</f>
        <v>0</v>
      </c>
      <c r="O214" s="7" t="str">
        <f>MATCH(TRIM(C214), '📊 COGS'!A:A, 0)</f>
        <v>#N/A</v>
      </c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4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>
        <f t="array" ref="N215">IFERROR(E215 * INDEX('📊 COGS'!B:B, O215), 0)</f>
        <v>0</v>
      </c>
      <c r="O215" s="7" t="str">
        <f>MATCH(TRIM(C215), '📊 COGS'!A:A, 0)</f>
        <v>#N/A</v>
      </c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4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>
        <f t="array" ref="N216">IFERROR(E216 * INDEX('📊 COGS'!B:B, O216), 0)</f>
        <v>0</v>
      </c>
      <c r="O216" s="7" t="str">
        <f>MATCH(TRIM(C216), '📊 COGS'!A:A, 0)</f>
        <v>#N/A</v>
      </c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4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>
        <f t="array" ref="N217">IFERROR(E217 * INDEX('📊 COGS'!B:B, O217), 0)</f>
        <v>0</v>
      </c>
      <c r="O217" s="7" t="str">
        <f>MATCH(TRIM(C217), '📊 COGS'!A:A, 0)</f>
        <v>#N/A</v>
      </c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4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>
        <f t="array" ref="N218">IFERROR(E218 * INDEX('📊 COGS'!B:B, O218), 0)</f>
        <v>0</v>
      </c>
      <c r="O218" s="7" t="str">
        <f>MATCH(TRIM(C218), '📊 COGS'!A:A, 0)</f>
        <v>#N/A</v>
      </c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4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>
        <f t="array" ref="N219">IFERROR(E219 * INDEX('📊 COGS'!B:B, O219), 0)</f>
        <v>0</v>
      </c>
      <c r="O219" s="7" t="str">
        <f>MATCH(TRIM(C219), '📊 COGS'!A:A, 0)</f>
        <v>#N/A</v>
      </c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4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>
        <f t="array" ref="N220">IFERROR(E220 * INDEX('📊 COGS'!B:B, O220), 0)</f>
        <v>0</v>
      </c>
      <c r="O220" s="7" t="str">
        <f>MATCH(TRIM(C220), '📊 COGS'!A:A, 0)</f>
        <v>#N/A</v>
      </c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4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>
        <f t="array" ref="N221">IFERROR(E221 * INDEX('📊 COGS'!B:B, O221), 0)</f>
        <v>0</v>
      </c>
      <c r="O221" s="7" t="str">
        <f>MATCH(TRIM(C221), '📊 COGS'!A:A, 0)</f>
        <v>#N/A</v>
      </c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4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>
        <f t="array" ref="N222">IFERROR(E222 * INDEX('📊 COGS'!B:B, O222), 0)</f>
        <v>0</v>
      </c>
      <c r="O222" s="7" t="str">
        <f>MATCH(TRIM(C222), '📊 COGS'!A:A, 0)</f>
        <v>#N/A</v>
      </c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4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>
        <f t="array" ref="N223">IFERROR(E223 * INDEX('📊 COGS'!B:B, O223), 0)</f>
        <v>0</v>
      </c>
      <c r="O223" s="7" t="str">
        <f>MATCH(TRIM(C223), '📊 COGS'!A:A, 0)</f>
        <v>#N/A</v>
      </c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4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>
        <f t="array" ref="N224">IFERROR(E224 * INDEX('📊 COGS'!B:B, O224), 0)</f>
        <v>0</v>
      </c>
      <c r="O224" s="7" t="str">
        <f>MATCH(TRIM(C224), '📊 COGS'!A:A, 0)</f>
        <v>#N/A</v>
      </c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4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>
        <f t="array" ref="N225">IFERROR(E225 * INDEX('📊 COGS'!B:B, O225), 0)</f>
        <v>0</v>
      </c>
      <c r="O225" s="7" t="str">
        <f>MATCH(TRIM(C225), '📊 COGS'!A:A, 0)</f>
        <v>#N/A</v>
      </c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4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>
        <f t="array" ref="N226">IFERROR(E226 * INDEX('📊 COGS'!B:B, O226), 0)</f>
        <v>0</v>
      </c>
      <c r="O226" s="7" t="str">
        <f>MATCH(TRIM(C226), '📊 COGS'!A:A, 0)</f>
        <v>#N/A</v>
      </c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4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>
        <f t="array" ref="N227">IFERROR(E227 * INDEX('📊 COGS'!B:B, O227), 0)</f>
        <v>0</v>
      </c>
      <c r="O227" s="7" t="str">
        <f>MATCH(TRIM(C227), '📊 COGS'!A:A, 0)</f>
        <v>#N/A</v>
      </c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4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>
        <f t="array" ref="N228">IFERROR(E228 * INDEX('📊 COGS'!B:B, O228), 0)</f>
        <v>0</v>
      </c>
      <c r="O228" s="7" t="str">
        <f>MATCH(TRIM(C228), '📊 COGS'!A:A, 0)</f>
        <v>#N/A</v>
      </c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4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>
        <f t="array" ref="N229">IFERROR(E229 * INDEX('📊 COGS'!B:B, O229), 0)</f>
        <v>0</v>
      </c>
      <c r="O229" s="7" t="str">
        <f>MATCH(TRIM(C229), '📊 COGS'!A:A, 0)</f>
        <v>#N/A</v>
      </c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4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>
        <f t="array" ref="N230">IFERROR(E230 * INDEX('📊 COGS'!B:B, O230), 0)</f>
        <v>0</v>
      </c>
      <c r="O230" s="7" t="str">
        <f>MATCH(TRIM(C230), '📊 COGS'!A:A, 0)</f>
        <v>#N/A</v>
      </c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4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>
        <f t="array" ref="N231">IFERROR(E231 * INDEX('📊 COGS'!B:B, O231), 0)</f>
        <v>0</v>
      </c>
      <c r="O231" s="7" t="str">
        <f>MATCH(TRIM(C231), '📊 COGS'!A:A, 0)</f>
        <v>#N/A</v>
      </c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4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>
        <f t="array" ref="N232">IFERROR(E232 * INDEX('📊 COGS'!B:B, O232), 0)</f>
        <v>0</v>
      </c>
      <c r="O232" s="7" t="str">
        <f>MATCH(TRIM(C232), '📊 COGS'!A:A, 0)</f>
        <v>#N/A</v>
      </c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4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>
        <f t="array" ref="N233">IFERROR(E233 * INDEX('📊 COGS'!B:B, O233), 0)</f>
        <v>0</v>
      </c>
      <c r="O233" s="7" t="str">
        <f>MATCH(TRIM(C233), '📊 COGS'!A:A, 0)</f>
        <v>#N/A</v>
      </c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4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>
        <f t="array" ref="N234">IFERROR(E234 * INDEX('📊 COGS'!B:B, O234), 0)</f>
        <v>0</v>
      </c>
      <c r="O234" s="7" t="str">
        <f>MATCH(TRIM(C234), '📊 COGS'!A:A, 0)</f>
        <v>#N/A</v>
      </c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4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>
        <f t="array" ref="N235">IFERROR(E235 * INDEX('📊 COGS'!B:B, O235), 0)</f>
        <v>0</v>
      </c>
      <c r="O235" s="7" t="str">
        <f>MATCH(TRIM(C235), '📊 COGS'!A:A, 0)</f>
        <v>#N/A</v>
      </c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4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>
        <f t="array" ref="N236">IFERROR(E236 * INDEX('📊 COGS'!B:B, O236), 0)</f>
        <v>0</v>
      </c>
      <c r="O236" s="7" t="str">
        <f>MATCH(TRIM(C236), '📊 COGS'!A:A, 0)</f>
        <v>#N/A</v>
      </c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4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>
        <f t="array" ref="N237">IFERROR(E237 * INDEX('📊 COGS'!B:B, O237), 0)</f>
        <v>0</v>
      </c>
      <c r="O237" s="7" t="str">
        <f>MATCH(TRIM(C237), '📊 COGS'!A:A, 0)</f>
        <v>#N/A</v>
      </c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4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>
        <f t="array" ref="N238">IFERROR(E238 * INDEX('📊 COGS'!B:B, O238), 0)</f>
        <v>0</v>
      </c>
      <c r="O238" s="7" t="str">
        <f>MATCH(TRIM(C238), '📊 COGS'!A:A, 0)</f>
        <v>#N/A</v>
      </c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4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>
        <f t="array" ref="N239">IFERROR(E239 * INDEX('📊 COGS'!B:B, O239), 0)</f>
        <v>0</v>
      </c>
      <c r="O239" s="7" t="str">
        <f>MATCH(TRIM(C239), '📊 COGS'!A:A, 0)</f>
        <v>#N/A</v>
      </c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4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>
        <f t="array" ref="N240">IFERROR(E240 * INDEX('📊 COGS'!B:B, O240), 0)</f>
        <v>0</v>
      </c>
      <c r="O240" s="7" t="str">
        <f>MATCH(TRIM(C240), '📊 COGS'!A:A, 0)</f>
        <v>#N/A</v>
      </c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4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>
        <f t="array" ref="N241">IFERROR(E241 * INDEX('📊 COGS'!B:B, O241), 0)</f>
        <v>0</v>
      </c>
      <c r="O241" s="7" t="str">
        <f>MATCH(TRIM(C241), '📊 COGS'!A:A, 0)</f>
        <v>#N/A</v>
      </c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4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>
        <f t="array" ref="N242">IFERROR(E242 * INDEX('📊 COGS'!B:B, O242), 0)</f>
        <v>0</v>
      </c>
      <c r="O242" s="7" t="str">
        <f>MATCH(TRIM(C242), '📊 COGS'!A:A, 0)</f>
        <v>#N/A</v>
      </c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4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>
        <f t="array" ref="N243">IFERROR(E243 * INDEX('📊 COGS'!B:B, O243), 0)</f>
        <v>0</v>
      </c>
      <c r="O243" s="7" t="str">
        <f>MATCH(TRIM(C243), '📊 COGS'!A:A, 0)</f>
        <v>#N/A</v>
      </c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4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>
        <f t="array" ref="N244">IFERROR(E244 * INDEX('📊 COGS'!B:B, O244), 0)</f>
        <v>0</v>
      </c>
      <c r="O244" s="7" t="str">
        <f>MATCH(TRIM(C244), '📊 COGS'!A:A, 0)</f>
        <v>#N/A</v>
      </c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4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>
        <f t="array" ref="N245">IFERROR(E245 * INDEX('📊 COGS'!B:B, O245), 0)</f>
        <v>0</v>
      </c>
      <c r="O245" s="7" t="str">
        <f>MATCH(TRIM(C245), '📊 COGS'!A:A, 0)</f>
        <v>#N/A</v>
      </c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4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>
        <f t="array" ref="N246">IFERROR(E246 * INDEX('📊 COGS'!B:B, O246), 0)</f>
        <v>0</v>
      </c>
      <c r="O246" s="7" t="str">
        <f>MATCH(TRIM(C246), '📊 COGS'!A:A, 0)</f>
        <v>#N/A</v>
      </c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4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>
        <f t="array" ref="N247">IFERROR(E247 * INDEX('📊 COGS'!B:B, O247), 0)</f>
        <v>0</v>
      </c>
      <c r="O247" s="7" t="str">
        <f>MATCH(TRIM(C247), '📊 COGS'!A:A, 0)</f>
        <v>#N/A</v>
      </c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4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>
        <f t="array" ref="N248">IFERROR(E248 * INDEX('📊 COGS'!B:B, O248), 0)</f>
        <v>0</v>
      </c>
      <c r="O248" s="7" t="str">
        <f>MATCH(TRIM(C248), '📊 COGS'!A:A, 0)</f>
        <v>#N/A</v>
      </c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4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>
        <f t="array" ref="N249">IFERROR(E249 * INDEX('📊 COGS'!B:B, O249), 0)</f>
        <v>0</v>
      </c>
      <c r="O249" s="7" t="str">
        <f>MATCH(TRIM(C249), '📊 COGS'!A:A, 0)</f>
        <v>#N/A</v>
      </c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4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>
        <f t="array" ref="N250">IFERROR(E250 * INDEX('📊 COGS'!B:B, O250), 0)</f>
        <v>0</v>
      </c>
      <c r="O250" s="7" t="str">
        <f>MATCH(TRIM(C250), '📊 COGS'!A:A, 0)</f>
        <v>#N/A</v>
      </c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4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>
        <f t="array" ref="N251">IFERROR(E251 * INDEX('📊 COGS'!B:B, O251), 0)</f>
        <v>0</v>
      </c>
      <c r="O251" s="7" t="str">
        <f>MATCH(TRIM(C251), '📊 COGS'!A:A, 0)</f>
        <v>#N/A</v>
      </c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4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>
        <f t="array" ref="N252">IFERROR(E252 * INDEX('📊 COGS'!B:B, O252), 0)</f>
        <v>0</v>
      </c>
      <c r="O252" s="7" t="str">
        <f>MATCH(TRIM(C252), '📊 COGS'!A:A, 0)</f>
        <v>#N/A</v>
      </c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4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>
        <f t="array" ref="N253">IFERROR(E253 * INDEX('📊 COGS'!B:B, O253), 0)</f>
        <v>0</v>
      </c>
      <c r="O253" s="7" t="str">
        <f>MATCH(TRIM(C253), '📊 COGS'!A:A, 0)</f>
        <v>#N/A</v>
      </c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4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>
        <f t="array" ref="N254">IFERROR(E254 * INDEX('📊 COGS'!B:B, O254), 0)</f>
        <v>0</v>
      </c>
      <c r="O254" s="7" t="str">
        <f>MATCH(TRIM(C254), '📊 COGS'!A:A, 0)</f>
        <v>#N/A</v>
      </c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4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>
        <f t="array" ref="N255">IFERROR(E255 * INDEX('📊 COGS'!B:B, O255), 0)</f>
        <v>0</v>
      </c>
      <c r="O255" s="7" t="str">
        <f>MATCH(TRIM(C255), '📊 COGS'!A:A, 0)</f>
        <v>#N/A</v>
      </c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4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>
        <f t="array" ref="N256">IFERROR(E256 * INDEX('📊 COGS'!B:B, O256), 0)</f>
        <v>0</v>
      </c>
      <c r="O256" s="7" t="str">
        <f>MATCH(TRIM(C256), '📊 COGS'!A:A, 0)</f>
        <v>#N/A</v>
      </c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4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>
        <f t="array" ref="N257">IFERROR(E257 * INDEX('📊 COGS'!B:B, O257), 0)</f>
        <v>0</v>
      </c>
      <c r="O257" s="7" t="str">
        <f>MATCH(TRIM(C257), '📊 COGS'!A:A, 0)</f>
        <v>#N/A</v>
      </c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4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>
        <f t="array" ref="N258">IFERROR(E258 * INDEX('📊 COGS'!B:B, O258), 0)</f>
        <v>0</v>
      </c>
      <c r="O258" s="7" t="str">
        <f>MATCH(TRIM(C258), '📊 COGS'!A:A, 0)</f>
        <v>#N/A</v>
      </c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4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>
        <f t="array" ref="N259">IFERROR(E259 * INDEX('📊 COGS'!B:B, O259), 0)</f>
        <v>0</v>
      </c>
      <c r="O259" s="7" t="str">
        <f>MATCH(TRIM(C259), '📊 COGS'!A:A, 0)</f>
        <v>#N/A</v>
      </c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4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>
        <f t="array" ref="N260">IFERROR(E260 * INDEX('📊 COGS'!B:B, O260), 0)</f>
        <v>0</v>
      </c>
      <c r="O260" s="7" t="str">
        <f>MATCH(TRIM(C260), '📊 COGS'!A:A, 0)</f>
        <v>#N/A</v>
      </c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4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>
        <f t="array" ref="N261">IFERROR(E261 * INDEX('📊 COGS'!B:B, O261), 0)</f>
        <v>0</v>
      </c>
      <c r="O261" s="7" t="str">
        <f>MATCH(TRIM(C261), '📊 COGS'!A:A, 0)</f>
        <v>#N/A</v>
      </c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4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>
        <f t="array" ref="N262">IFERROR(E262 * INDEX('📊 COGS'!B:B, O262), 0)</f>
        <v>0</v>
      </c>
      <c r="O262" s="7" t="str">
        <f>MATCH(TRIM(C262), '📊 COGS'!A:A, 0)</f>
        <v>#N/A</v>
      </c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4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>
        <f t="array" ref="N263">IFERROR(E263 * INDEX('📊 COGS'!B:B, O263), 0)</f>
        <v>0</v>
      </c>
      <c r="O263" s="7" t="str">
        <f>MATCH(TRIM(C263), '📊 COGS'!A:A, 0)</f>
        <v>#N/A</v>
      </c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4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>
        <f t="array" ref="N264">IFERROR(E264 * INDEX('📊 COGS'!B:B, O264), 0)</f>
        <v>0</v>
      </c>
      <c r="O264" s="7" t="str">
        <f>MATCH(TRIM(C264), '📊 COGS'!A:A, 0)</f>
        <v>#N/A</v>
      </c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4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>
        <f t="array" ref="N265">IFERROR(E265 * INDEX('📊 COGS'!B:B, O265), 0)</f>
        <v>0</v>
      </c>
      <c r="O265" s="7" t="str">
        <f>MATCH(TRIM(C265), '📊 COGS'!A:A, 0)</f>
        <v>#N/A</v>
      </c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4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>
        <f t="array" ref="N266">IFERROR(E266 * INDEX('📊 COGS'!B:B, O266), 0)</f>
        <v>0</v>
      </c>
      <c r="O266" s="7" t="str">
        <f>MATCH(TRIM(C266), '📊 COGS'!A:A, 0)</f>
        <v>#N/A</v>
      </c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4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>
        <f t="array" ref="N267">IFERROR(E267 * INDEX('📊 COGS'!B:B, O267), 0)</f>
        <v>0</v>
      </c>
      <c r="O267" s="7" t="str">
        <f>MATCH(TRIM(C267), '📊 COGS'!A:A, 0)</f>
        <v>#N/A</v>
      </c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4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>
        <f t="array" ref="N268">IFERROR(E268 * INDEX('📊 COGS'!B:B, O268), 0)</f>
        <v>0</v>
      </c>
      <c r="O268" s="7" t="str">
        <f>MATCH(TRIM(C268), '📊 COGS'!A:A, 0)</f>
        <v>#N/A</v>
      </c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4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>
        <f t="array" ref="N269">IFERROR(E269 * INDEX('📊 COGS'!B:B, O269), 0)</f>
        <v>0</v>
      </c>
      <c r="O269" s="7" t="str">
        <f>MATCH(TRIM(C269), '📊 COGS'!A:A, 0)</f>
        <v>#N/A</v>
      </c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4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>
        <f t="array" ref="N270">IFERROR(E270 * INDEX('📊 COGS'!B:B, O270), 0)</f>
        <v>0</v>
      </c>
      <c r="O270" s="7" t="str">
        <f>MATCH(TRIM(C270), '📊 COGS'!A:A, 0)</f>
        <v>#N/A</v>
      </c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4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>
        <f t="array" ref="N271">IFERROR(E271 * INDEX('📊 COGS'!B:B, O271), 0)</f>
        <v>0</v>
      </c>
      <c r="O271" s="7" t="str">
        <f>MATCH(TRIM(C271), '📊 COGS'!A:A, 0)</f>
        <v>#N/A</v>
      </c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4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>
        <f t="array" ref="N272">IFERROR(E272 * INDEX('📊 COGS'!B:B, O272), 0)</f>
        <v>0</v>
      </c>
      <c r="O272" s="7" t="str">
        <f>MATCH(TRIM(C272), '📊 COGS'!A:A, 0)</f>
        <v>#N/A</v>
      </c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4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>
        <f t="array" ref="N273">IFERROR(E273 * INDEX('📊 COGS'!B:B, O273), 0)</f>
        <v>0</v>
      </c>
      <c r="O273" s="7" t="str">
        <f>MATCH(TRIM(C273), '📊 COGS'!A:A, 0)</f>
        <v>#N/A</v>
      </c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4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>
        <f t="array" ref="N274">IFERROR(E274 * INDEX('📊 COGS'!B:B, O274), 0)</f>
        <v>0</v>
      </c>
      <c r="O274" s="7" t="str">
        <f>MATCH(TRIM(C274), '📊 COGS'!A:A, 0)</f>
        <v>#N/A</v>
      </c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4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>
        <f t="array" ref="N275">IFERROR(E275 * INDEX('📊 COGS'!B:B, O275), 0)</f>
        <v>0</v>
      </c>
      <c r="O275" s="7" t="str">
        <f>MATCH(TRIM(C275), '📊 COGS'!A:A, 0)</f>
        <v>#N/A</v>
      </c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4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>
        <f t="array" ref="N276">IFERROR(E276 * INDEX('📊 COGS'!B:B, O276), 0)</f>
        <v>0</v>
      </c>
      <c r="O276" s="7" t="str">
        <f>MATCH(TRIM(C276), '📊 COGS'!A:A, 0)</f>
        <v>#N/A</v>
      </c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4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>
        <f t="array" ref="N277">IFERROR(E277 * INDEX('📊 COGS'!B:B, O277), 0)</f>
        <v>0</v>
      </c>
      <c r="O277" s="7" t="str">
        <f>MATCH(TRIM(C277), '📊 COGS'!A:A, 0)</f>
        <v>#N/A</v>
      </c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4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>
        <f t="array" ref="N278">IFERROR(E278 * INDEX('📊 COGS'!B:B, O278), 0)</f>
        <v>0</v>
      </c>
      <c r="O278" s="7" t="str">
        <f>MATCH(TRIM(C278), '📊 COGS'!A:A, 0)</f>
        <v>#N/A</v>
      </c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4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>
        <f t="array" ref="N279">IFERROR(E279 * INDEX('📊 COGS'!B:B, O279), 0)</f>
        <v>0</v>
      </c>
      <c r="O279" s="7" t="str">
        <f>MATCH(TRIM(C279), '📊 COGS'!A:A, 0)</f>
        <v>#N/A</v>
      </c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4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>
        <f t="array" ref="N280">IFERROR(E280 * INDEX('📊 COGS'!B:B, O280), 0)</f>
        <v>0</v>
      </c>
      <c r="O280" s="7" t="str">
        <f>MATCH(TRIM(C280), '📊 COGS'!A:A, 0)</f>
        <v>#N/A</v>
      </c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4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>
        <f t="array" ref="N281">IFERROR(E281 * INDEX('📊 COGS'!B:B, O281), 0)</f>
        <v>0</v>
      </c>
      <c r="O281" s="7" t="str">
        <f>MATCH(TRIM(C281), '📊 COGS'!A:A, 0)</f>
        <v>#N/A</v>
      </c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4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>
        <f t="array" ref="N282">IFERROR(E282 * INDEX('📊 COGS'!B:B, O282), 0)</f>
        <v>0</v>
      </c>
      <c r="O282" s="7" t="str">
        <f>MATCH(TRIM(C282), '📊 COGS'!A:A, 0)</f>
        <v>#N/A</v>
      </c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4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>
        <f t="array" ref="N283">IFERROR(E283 * INDEX('📊 COGS'!B:B, O283), 0)</f>
        <v>0</v>
      </c>
      <c r="O283" s="7" t="str">
        <f>MATCH(TRIM(C283), '📊 COGS'!A:A, 0)</f>
        <v>#N/A</v>
      </c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4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>
        <f t="array" ref="N284">IFERROR(E284 * INDEX('📊 COGS'!B:B, O284), 0)</f>
        <v>0</v>
      </c>
      <c r="O284" s="7" t="str">
        <f>MATCH(TRIM(C284), '📊 COGS'!A:A, 0)</f>
        <v>#N/A</v>
      </c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4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>
        <f t="array" ref="N285">IFERROR(E285 * INDEX('📊 COGS'!B:B, O285), 0)</f>
        <v>0</v>
      </c>
      <c r="O285" s="7" t="str">
        <f>MATCH(TRIM(C285), '📊 COGS'!A:A, 0)</f>
        <v>#N/A</v>
      </c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4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>
        <f t="array" ref="N286">IFERROR(E286 * INDEX('📊 COGS'!B:B, O286), 0)</f>
        <v>0</v>
      </c>
      <c r="O286" s="7" t="str">
        <f>MATCH(TRIM(C286), '📊 COGS'!A:A, 0)</f>
        <v>#N/A</v>
      </c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4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>
        <f t="array" ref="N287">IFERROR(E287 * INDEX('📊 COGS'!B:B, O287), 0)</f>
        <v>0</v>
      </c>
      <c r="O287" s="7" t="str">
        <f>MATCH(TRIM(C287), '📊 COGS'!A:A, 0)</f>
        <v>#N/A</v>
      </c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4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>
        <f t="array" ref="N288">IFERROR(E288 * INDEX('📊 COGS'!B:B, O288), 0)</f>
        <v>0</v>
      </c>
      <c r="O288" s="7" t="str">
        <f>MATCH(TRIM(C288), '📊 COGS'!A:A, 0)</f>
        <v>#N/A</v>
      </c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4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>
        <f t="array" ref="N289">IFERROR(E289 * INDEX('📊 COGS'!B:B, O289), 0)</f>
        <v>0</v>
      </c>
      <c r="O289" s="7" t="str">
        <f>MATCH(TRIM(C289), '📊 COGS'!A:A, 0)</f>
        <v>#N/A</v>
      </c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4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>
        <f t="array" ref="N290">IFERROR(E290 * INDEX('📊 COGS'!B:B, O290), 0)</f>
        <v>0</v>
      </c>
      <c r="O290" s="7" t="str">
        <f>MATCH(TRIM(C290), '📊 COGS'!A:A, 0)</f>
        <v>#N/A</v>
      </c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4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>
        <f t="array" ref="N291">IFERROR(E291 * INDEX('📊 COGS'!B:B, O291), 0)</f>
        <v>0</v>
      </c>
      <c r="O291" s="7" t="str">
        <f>MATCH(TRIM(C291), '📊 COGS'!A:A, 0)</f>
        <v>#N/A</v>
      </c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4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>
        <f t="array" ref="N292">IFERROR(E292 * INDEX('📊 COGS'!B:B, O292), 0)</f>
        <v>0</v>
      </c>
      <c r="O292" s="7" t="str">
        <f>MATCH(TRIM(C292), '📊 COGS'!A:A, 0)</f>
        <v>#N/A</v>
      </c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4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>
        <f t="array" ref="N293">IFERROR(E293 * INDEX('📊 COGS'!B:B, O293), 0)</f>
        <v>0</v>
      </c>
      <c r="O293" s="7" t="str">
        <f>MATCH(TRIM(C293), '📊 COGS'!A:A, 0)</f>
        <v>#N/A</v>
      </c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4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>
        <f t="array" ref="N294">IFERROR(E294 * INDEX('📊 COGS'!B:B, O294), 0)</f>
        <v>0</v>
      </c>
      <c r="O294" s="7" t="str">
        <f>MATCH(TRIM(C294), '📊 COGS'!A:A, 0)</f>
        <v>#N/A</v>
      </c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4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>
        <f t="array" ref="N295">IFERROR(E295 * INDEX('📊 COGS'!B:B, O295), 0)</f>
        <v>0</v>
      </c>
      <c r="O295" s="7" t="str">
        <f>MATCH(TRIM(C295), '📊 COGS'!A:A, 0)</f>
        <v>#N/A</v>
      </c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4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>
        <f t="array" ref="N296">IFERROR(E296 * INDEX('📊 COGS'!B:B, O296), 0)</f>
        <v>0</v>
      </c>
      <c r="O296" s="7" t="str">
        <f>MATCH(TRIM(C296), '📊 COGS'!A:A, 0)</f>
        <v>#N/A</v>
      </c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4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>
        <f t="array" ref="N297">IFERROR(E297 * INDEX('📊 COGS'!B:B, O297), 0)</f>
        <v>0</v>
      </c>
      <c r="O297" s="7" t="str">
        <f>MATCH(TRIM(C297), '📊 COGS'!A:A, 0)</f>
        <v>#N/A</v>
      </c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4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>
        <f t="array" ref="N298">IFERROR(E298 * INDEX('📊 COGS'!B:B, O298), 0)</f>
        <v>0</v>
      </c>
      <c r="O298" s="7" t="str">
        <f>MATCH(TRIM(C298), '📊 COGS'!A:A, 0)</f>
        <v>#N/A</v>
      </c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4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>
        <f t="array" ref="N299">IFERROR(E299 * INDEX('📊 COGS'!B:B, O299), 0)</f>
        <v>0</v>
      </c>
      <c r="O299" s="7" t="str">
        <f>MATCH(TRIM(C299), '📊 COGS'!A:A, 0)</f>
        <v>#N/A</v>
      </c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4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>
        <f t="array" ref="N300">IFERROR(E300 * INDEX('📊 COGS'!B:B, O300), 0)</f>
        <v>0</v>
      </c>
      <c r="O300" s="7" t="str">
        <f>MATCH(TRIM(C300), '📊 COGS'!A:A, 0)</f>
        <v>#N/A</v>
      </c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4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>
        <f t="array" ref="N301">IFERROR(E301 * INDEX('📊 COGS'!B:B, O301), 0)</f>
        <v>0</v>
      </c>
      <c r="O301" s="7" t="str">
        <f>MATCH(TRIM(C301), '📊 COGS'!A:A, 0)</f>
        <v>#N/A</v>
      </c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4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>
        <f t="array" ref="N302">IFERROR(E302 * INDEX('📊 COGS'!B:B, O302), 0)</f>
        <v>0</v>
      </c>
      <c r="O302" s="7" t="str">
        <f>MATCH(TRIM(C302), '📊 COGS'!A:A, 0)</f>
        <v>#N/A</v>
      </c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4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>
        <f t="array" ref="N303">IFERROR(E303 * INDEX('📊 COGS'!B:B, O303), 0)</f>
        <v>0</v>
      </c>
      <c r="O303" s="7" t="str">
        <f>MATCH(TRIM(C303), '📊 COGS'!A:A, 0)</f>
        <v>#N/A</v>
      </c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4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>
        <f t="array" ref="N304">IFERROR(E304 * INDEX('📊 COGS'!B:B, O304), 0)</f>
        <v>0</v>
      </c>
      <c r="O304" s="7" t="str">
        <f>MATCH(TRIM(C304), '📊 COGS'!A:A, 0)</f>
        <v>#N/A</v>
      </c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4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>
        <f t="array" ref="N305">IFERROR(E305 * INDEX('📊 COGS'!B:B, O305), 0)</f>
        <v>0</v>
      </c>
      <c r="O305" s="7" t="str">
        <f>MATCH(TRIM(C305), '📊 COGS'!A:A, 0)</f>
        <v>#N/A</v>
      </c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4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>
        <f t="array" ref="N306">IFERROR(E306 * INDEX('📊 COGS'!B:B, O306), 0)</f>
        <v>0</v>
      </c>
      <c r="O306" s="7" t="str">
        <f>MATCH(TRIM(C306), '📊 COGS'!A:A, 0)</f>
        <v>#N/A</v>
      </c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4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>
        <f t="array" ref="N307">IFERROR(E307 * INDEX('📊 COGS'!B:B, O307), 0)</f>
        <v>0</v>
      </c>
      <c r="O307" s="7" t="str">
        <f>MATCH(TRIM(C307), '📊 COGS'!A:A, 0)</f>
        <v>#N/A</v>
      </c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4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>
        <f t="array" ref="N308">IFERROR(E308 * INDEX('📊 COGS'!B:B, O308), 0)</f>
        <v>0</v>
      </c>
      <c r="O308" s="7" t="str">
        <f>MATCH(TRIM(C308), '📊 COGS'!A:A, 0)</f>
        <v>#N/A</v>
      </c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4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>
        <f t="array" ref="N309">IFERROR(E309 * INDEX('📊 COGS'!B:B, O309), 0)</f>
        <v>0</v>
      </c>
      <c r="O309" s="7" t="str">
        <f>MATCH(TRIM(C309), '📊 COGS'!A:A, 0)</f>
        <v>#N/A</v>
      </c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4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>
        <f t="array" ref="N310">IFERROR(E310 * INDEX('📊 COGS'!B:B, O310), 0)</f>
        <v>0</v>
      </c>
      <c r="O310" s="7" t="str">
        <f>MATCH(TRIM(C310), '📊 COGS'!A:A, 0)</f>
        <v>#N/A</v>
      </c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4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>
        <f t="array" ref="N311">IFERROR(E311 * INDEX('📊 COGS'!B:B, O311), 0)</f>
        <v>0</v>
      </c>
      <c r="O311" s="7" t="str">
        <f>MATCH(TRIM(C311), '📊 COGS'!A:A, 0)</f>
        <v>#N/A</v>
      </c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4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>
        <f t="array" ref="N312">IFERROR(E312 * INDEX('📊 COGS'!B:B, O312), 0)</f>
        <v>0</v>
      </c>
      <c r="O312" s="7" t="str">
        <f>MATCH(TRIM(C312), '📊 COGS'!A:A, 0)</f>
        <v>#N/A</v>
      </c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4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>
        <f t="array" ref="N313">IFERROR(E313 * INDEX('📊 COGS'!B:B, O313), 0)</f>
        <v>0</v>
      </c>
      <c r="O313" s="7" t="str">
        <f>MATCH(TRIM(C313), '📊 COGS'!A:A, 0)</f>
        <v>#N/A</v>
      </c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4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>
        <f t="array" ref="N314">IFERROR(E314 * INDEX('📊 COGS'!B:B, O314), 0)</f>
        <v>0</v>
      </c>
      <c r="O314" s="7" t="str">
        <f>MATCH(TRIM(C314), '📊 COGS'!A:A, 0)</f>
        <v>#N/A</v>
      </c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4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>
        <f t="array" ref="N315">IFERROR(E315 * INDEX('📊 COGS'!B:B, O315), 0)</f>
        <v>0</v>
      </c>
      <c r="O315" s="7" t="str">
        <f>MATCH(TRIM(C315), '📊 COGS'!A:A, 0)</f>
        <v>#N/A</v>
      </c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4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>
        <f t="array" ref="N316">IFERROR(E316 * INDEX('📊 COGS'!B:B, O316), 0)</f>
        <v>0</v>
      </c>
      <c r="O316" s="7" t="str">
        <f>MATCH(TRIM(C316), '📊 COGS'!A:A, 0)</f>
        <v>#N/A</v>
      </c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4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>
        <f t="array" ref="N317">IFERROR(E317 * INDEX('📊 COGS'!B:B, O317), 0)</f>
        <v>0</v>
      </c>
      <c r="O317" s="7" t="str">
        <f>MATCH(TRIM(C317), '📊 COGS'!A:A, 0)</f>
        <v>#N/A</v>
      </c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4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>
        <f t="array" ref="N318">IFERROR(E318 * INDEX('📊 COGS'!B:B, O318), 0)</f>
        <v>0</v>
      </c>
      <c r="O318" s="7" t="str">
        <f>MATCH(TRIM(C318), '📊 COGS'!A:A, 0)</f>
        <v>#N/A</v>
      </c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4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>
        <f t="array" ref="N319">IFERROR(E319 * INDEX('📊 COGS'!B:B, O319), 0)</f>
        <v>0</v>
      </c>
      <c r="O319" s="7" t="str">
        <f>MATCH(TRIM(C319), '📊 COGS'!A:A, 0)</f>
        <v>#N/A</v>
      </c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4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>
        <f t="array" ref="N320">IFERROR(E320 * INDEX('📊 COGS'!B:B, O320), 0)</f>
        <v>0</v>
      </c>
      <c r="O320" s="7" t="str">
        <f>MATCH(TRIM(C320), '📊 COGS'!A:A, 0)</f>
        <v>#N/A</v>
      </c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4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>
        <f t="array" ref="N321">IFERROR(E321 * INDEX('📊 COGS'!B:B, O321), 0)</f>
        <v>0</v>
      </c>
      <c r="O321" s="7" t="str">
        <f>MATCH(TRIM(C321), '📊 COGS'!A:A, 0)</f>
        <v>#N/A</v>
      </c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4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>
        <f t="array" ref="N322">IFERROR(E322 * INDEX('📊 COGS'!B:B, O322), 0)</f>
        <v>0</v>
      </c>
      <c r="O322" s="7" t="str">
        <f>MATCH(TRIM(C322), '📊 COGS'!A:A, 0)</f>
        <v>#N/A</v>
      </c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4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>
        <f t="array" ref="N323">IFERROR(E323 * INDEX('📊 COGS'!B:B, O323), 0)</f>
        <v>0</v>
      </c>
      <c r="O323" s="7" t="str">
        <f>MATCH(TRIM(C323), '📊 COGS'!A:A, 0)</f>
        <v>#N/A</v>
      </c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4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>
        <f t="array" ref="N324">IFERROR(E324 * INDEX('📊 COGS'!B:B, O324), 0)</f>
        <v>0</v>
      </c>
      <c r="O324" s="7" t="str">
        <f>MATCH(TRIM(C324), '📊 COGS'!A:A, 0)</f>
        <v>#N/A</v>
      </c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4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>
        <f t="array" ref="N325">IFERROR(E325 * INDEX('📊 COGS'!B:B, O325), 0)</f>
        <v>0</v>
      </c>
      <c r="O325" s="7" t="str">
        <f>MATCH(TRIM(C325), '📊 COGS'!A:A, 0)</f>
        <v>#N/A</v>
      </c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4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>
        <f t="array" ref="N326">IFERROR(E326 * INDEX('📊 COGS'!B:B, O326), 0)</f>
        <v>0</v>
      </c>
      <c r="O326" s="7" t="str">
        <f>MATCH(TRIM(C326), '📊 COGS'!A:A, 0)</f>
        <v>#N/A</v>
      </c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4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>
        <f t="array" ref="N327">IFERROR(E327 * INDEX('📊 COGS'!B:B, O327), 0)</f>
        <v>0</v>
      </c>
      <c r="O327" s="7" t="str">
        <f>MATCH(TRIM(C327), '📊 COGS'!A:A, 0)</f>
        <v>#N/A</v>
      </c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4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>
        <f t="array" ref="N328">IFERROR(E328 * INDEX('📊 COGS'!B:B, O328), 0)</f>
        <v>0</v>
      </c>
      <c r="O328" s="7" t="str">
        <f>MATCH(TRIM(C328), '📊 COGS'!A:A, 0)</f>
        <v>#N/A</v>
      </c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4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>
        <f t="array" ref="N329">IFERROR(E329 * INDEX('📊 COGS'!B:B, O329), 0)</f>
        <v>0</v>
      </c>
      <c r="O329" s="7" t="str">
        <f>MATCH(TRIM(C329), '📊 COGS'!A:A, 0)</f>
        <v>#N/A</v>
      </c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4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>
        <f t="array" ref="N330">IFERROR(E330 * INDEX('📊 COGS'!B:B, O330), 0)</f>
        <v>0</v>
      </c>
      <c r="O330" s="7" t="str">
        <f>MATCH(TRIM(C330), '📊 COGS'!A:A, 0)</f>
        <v>#N/A</v>
      </c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4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>
        <f t="array" ref="N331">IFERROR(E331 * INDEX('📊 COGS'!B:B, O331), 0)</f>
        <v>0</v>
      </c>
      <c r="O331" s="7" t="str">
        <f>MATCH(TRIM(C331), '📊 COGS'!A:A, 0)</f>
        <v>#N/A</v>
      </c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4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>
        <f t="array" ref="N332">IFERROR(E332 * INDEX('📊 COGS'!B:B, O332), 0)</f>
        <v>0</v>
      </c>
      <c r="O332" s="7" t="str">
        <f>MATCH(TRIM(C332), '📊 COGS'!A:A, 0)</f>
        <v>#N/A</v>
      </c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4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>
        <f t="array" ref="N333">IFERROR(E333 * INDEX('📊 COGS'!B:B, O333), 0)</f>
        <v>0</v>
      </c>
      <c r="O333" s="7" t="str">
        <f>MATCH(TRIM(C333), '📊 COGS'!A:A, 0)</f>
        <v>#N/A</v>
      </c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4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>
        <f t="array" ref="N334">IFERROR(E334 * INDEX('📊 COGS'!B:B, O334), 0)</f>
        <v>0</v>
      </c>
      <c r="O334" s="7" t="str">
        <f>MATCH(TRIM(C334), '📊 COGS'!A:A, 0)</f>
        <v>#N/A</v>
      </c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4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>
        <f t="array" ref="N335">IFERROR(E335 * INDEX('📊 COGS'!B:B, O335), 0)</f>
        <v>0</v>
      </c>
      <c r="O335" s="7" t="str">
        <f>MATCH(TRIM(C335), '📊 COGS'!A:A, 0)</f>
        <v>#N/A</v>
      </c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4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>
        <f t="array" ref="N336">IFERROR(E336 * INDEX('📊 COGS'!B:B, O336), 0)</f>
        <v>0</v>
      </c>
      <c r="O336" s="7" t="str">
        <f>MATCH(TRIM(C336), '📊 COGS'!A:A, 0)</f>
        <v>#N/A</v>
      </c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4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>
        <f t="array" ref="N337">IFERROR(E337 * INDEX('📊 COGS'!B:B, O337), 0)</f>
        <v>0</v>
      </c>
      <c r="O337" s="7" t="str">
        <f>MATCH(TRIM(C337), '📊 COGS'!A:A, 0)</f>
        <v>#N/A</v>
      </c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4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>
        <f t="array" ref="N338">IFERROR(E338 * INDEX('📊 COGS'!B:B, O338), 0)</f>
        <v>0</v>
      </c>
      <c r="O338" s="7" t="str">
        <f>MATCH(TRIM(C338), '📊 COGS'!A:A, 0)</f>
        <v>#N/A</v>
      </c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4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>
        <f t="array" ref="N339">IFERROR(E339 * INDEX('📊 COGS'!B:B, O339), 0)</f>
        <v>0</v>
      </c>
      <c r="O339" s="7" t="str">
        <f>MATCH(TRIM(C339), '📊 COGS'!A:A, 0)</f>
        <v>#N/A</v>
      </c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4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>
        <f t="array" ref="N340">IFERROR(E340 * INDEX('📊 COGS'!B:B, O340), 0)</f>
        <v>0</v>
      </c>
      <c r="O340" s="7" t="str">
        <f>MATCH(TRIM(C340), '📊 COGS'!A:A, 0)</f>
        <v>#N/A</v>
      </c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4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>
        <f t="array" ref="N341">IFERROR(E341 * INDEX('📊 COGS'!B:B, O341), 0)</f>
        <v>0</v>
      </c>
      <c r="O341" s="7" t="str">
        <f>MATCH(TRIM(C341), '📊 COGS'!A:A, 0)</f>
        <v>#N/A</v>
      </c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4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>
        <f t="array" ref="N342">IFERROR(E342 * INDEX('📊 COGS'!B:B, O342), 0)</f>
        <v>0</v>
      </c>
      <c r="O342" s="7" t="str">
        <f>MATCH(TRIM(C342), '📊 COGS'!A:A, 0)</f>
        <v>#N/A</v>
      </c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4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>
        <f t="array" ref="N343">IFERROR(E343 * INDEX('📊 COGS'!B:B, O343), 0)</f>
        <v>0</v>
      </c>
      <c r="O343" s="7" t="str">
        <f>MATCH(TRIM(C343), '📊 COGS'!A:A, 0)</f>
        <v>#N/A</v>
      </c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4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>
        <f t="array" ref="N344">IFERROR(E344 * INDEX('📊 COGS'!B:B, O344), 0)</f>
        <v>0</v>
      </c>
      <c r="O344" s="7" t="str">
        <f>MATCH(TRIM(C344), '📊 COGS'!A:A, 0)</f>
        <v>#N/A</v>
      </c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4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>
        <f t="array" ref="N345">IFERROR(E345 * INDEX('📊 COGS'!B:B, O345), 0)</f>
        <v>0</v>
      </c>
      <c r="O345" s="7" t="str">
        <f>MATCH(TRIM(C345), '📊 COGS'!A:A, 0)</f>
        <v>#N/A</v>
      </c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4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>
        <f t="array" ref="N346">IFERROR(E346 * INDEX('📊 COGS'!B:B, O346), 0)</f>
        <v>0</v>
      </c>
      <c r="O346" s="7" t="str">
        <f>MATCH(TRIM(C346), '📊 COGS'!A:A, 0)</f>
        <v>#N/A</v>
      </c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4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>
        <f t="array" ref="N347">IFERROR(E347 * INDEX('📊 COGS'!B:B, O347), 0)</f>
        <v>0</v>
      </c>
      <c r="O347" s="7" t="str">
        <f>MATCH(TRIM(C347), '📊 COGS'!A:A, 0)</f>
        <v>#N/A</v>
      </c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4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>
        <f t="array" ref="N348">IFERROR(E348 * INDEX('📊 COGS'!B:B, O348), 0)</f>
        <v>0</v>
      </c>
      <c r="O348" s="7" t="str">
        <f>MATCH(TRIM(C348), '📊 COGS'!A:A, 0)</f>
        <v>#N/A</v>
      </c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4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>
        <f t="array" ref="N349">IFERROR(E349 * INDEX('📊 COGS'!B:B, O349), 0)</f>
        <v>0</v>
      </c>
      <c r="O349" s="7" t="str">
        <f>MATCH(TRIM(C349), '📊 COGS'!A:A, 0)</f>
        <v>#N/A</v>
      </c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4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>
        <f t="array" ref="N350">IFERROR(E350 * INDEX('📊 COGS'!B:B, O350), 0)</f>
        <v>0</v>
      </c>
      <c r="O350" s="7" t="str">
        <f>MATCH(TRIM(C350), '📊 COGS'!A:A, 0)</f>
        <v>#N/A</v>
      </c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4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>
        <f t="array" ref="N351">IFERROR(E351 * INDEX('📊 COGS'!B:B, O351), 0)</f>
        <v>0</v>
      </c>
      <c r="O351" s="7" t="str">
        <f>MATCH(TRIM(C351), '📊 COGS'!A:A, 0)</f>
        <v>#N/A</v>
      </c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4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>
        <f t="array" ref="N352">IFERROR(E352 * INDEX('📊 COGS'!B:B, O352), 0)</f>
        <v>0</v>
      </c>
      <c r="O352" s="7" t="str">
        <f>MATCH(TRIM(C352), '📊 COGS'!A:A, 0)</f>
        <v>#N/A</v>
      </c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4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>
        <f t="array" ref="N353">IFERROR(E353 * INDEX('📊 COGS'!B:B, O353), 0)</f>
        <v>0</v>
      </c>
      <c r="O353" s="7" t="str">
        <f>MATCH(TRIM(C353), '📊 COGS'!A:A, 0)</f>
        <v>#N/A</v>
      </c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4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>
        <f t="array" ref="N354">IFERROR(E354 * INDEX('📊 COGS'!B:B, O354), 0)</f>
        <v>0</v>
      </c>
      <c r="O354" s="7" t="str">
        <f>MATCH(TRIM(C354), '📊 COGS'!A:A, 0)</f>
        <v>#N/A</v>
      </c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4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>
        <f t="array" ref="N355">IFERROR(E355 * INDEX('📊 COGS'!B:B, O355), 0)</f>
        <v>0</v>
      </c>
      <c r="O355" s="7" t="str">
        <f>MATCH(TRIM(C355), '📊 COGS'!A:A, 0)</f>
        <v>#N/A</v>
      </c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4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>
        <f t="array" ref="N356">IFERROR(E356 * INDEX('📊 COGS'!B:B, O356), 0)</f>
        <v>0</v>
      </c>
      <c r="O356" s="7" t="str">
        <f>MATCH(TRIM(C356), '📊 COGS'!A:A, 0)</f>
        <v>#N/A</v>
      </c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4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>
        <f t="array" ref="N357">IFERROR(E357 * INDEX('📊 COGS'!B:B, O357), 0)</f>
        <v>0</v>
      </c>
      <c r="O357" s="7" t="str">
        <f>MATCH(TRIM(C357), '📊 COGS'!A:A, 0)</f>
        <v>#N/A</v>
      </c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4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>
        <f t="array" ref="N358">IFERROR(E358 * INDEX('📊 COGS'!B:B, O358), 0)</f>
        <v>0</v>
      </c>
      <c r="O358" s="7" t="str">
        <f>MATCH(TRIM(C358), '📊 COGS'!A:A, 0)</f>
        <v>#N/A</v>
      </c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4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>
        <f t="array" ref="N359">IFERROR(E359 * INDEX('📊 COGS'!B:B, O359), 0)</f>
        <v>0</v>
      </c>
      <c r="O359" s="7" t="str">
        <f>MATCH(TRIM(C359), '📊 COGS'!A:A, 0)</f>
        <v>#N/A</v>
      </c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4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>
        <f t="array" ref="N360">IFERROR(E360 * INDEX('📊 COGS'!B:B, O360), 0)</f>
        <v>0</v>
      </c>
      <c r="O360" s="7" t="str">
        <f>MATCH(TRIM(C360), '📊 COGS'!A:A, 0)</f>
        <v>#N/A</v>
      </c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4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>
        <f t="array" ref="N361">IFERROR(E361 * INDEX('📊 COGS'!B:B, O361), 0)</f>
        <v>0</v>
      </c>
      <c r="O361" s="7" t="str">
        <f>MATCH(TRIM(C361), '📊 COGS'!A:A, 0)</f>
        <v>#N/A</v>
      </c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4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>
        <f t="array" ref="N362">IFERROR(E362 * INDEX('📊 COGS'!B:B, O362), 0)</f>
        <v>0</v>
      </c>
      <c r="O362" s="7" t="str">
        <f>MATCH(TRIM(C362), '📊 COGS'!A:A, 0)</f>
        <v>#N/A</v>
      </c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4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>
        <f t="array" ref="N363">IFERROR(E363 * INDEX('📊 COGS'!B:B, O363), 0)</f>
        <v>0</v>
      </c>
      <c r="O363" s="7" t="str">
        <f>MATCH(TRIM(C363), '📊 COGS'!A:A, 0)</f>
        <v>#N/A</v>
      </c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4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>
        <f t="array" ref="N364">IFERROR(E364 * INDEX('📊 COGS'!B:B, O364), 0)</f>
        <v>0</v>
      </c>
      <c r="O364" s="7" t="str">
        <f>MATCH(TRIM(C364), '📊 COGS'!A:A, 0)</f>
        <v>#N/A</v>
      </c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4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>
        <f t="array" ref="N365">IFERROR(E365 * INDEX('📊 COGS'!B:B, O365), 0)</f>
        <v>0</v>
      </c>
      <c r="O365" s="7" t="str">
        <f>MATCH(TRIM(C365), '📊 COGS'!A:A, 0)</f>
        <v>#N/A</v>
      </c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4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>
        <f t="array" ref="N366">IFERROR(E366 * INDEX('📊 COGS'!B:B, O366), 0)</f>
        <v>0</v>
      </c>
      <c r="O366" s="7" t="str">
        <f>MATCH(TRIM(C366), '📊 COGS'!A:A, 0)</f>
        <v>#N/A</v>
      </c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4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>
        <f t="array" ref="N367">IFERROR(E367 * INDEX('📊 COGS'!B:B, O367), 0)</f>
        <v>0</v>
      </c>
      <c r="O367" s="7" t="str">
        <f>MATCH(TRIM(C367), '📊 COGS'!A:A, 0)</f>
        <v>#N/A</v>
      </c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4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>
        <f t="array" ref="N368">IFERROR(E368 * INDEX('📊 COGS'!B:B, O368), 0)</f>
        <v>0</v>
      </c>
      <c r="O368" s="7" t="str">
        <f>MATCH(TRIM(C368), '📊 COGS'!A:A, 0)</f>
        <v>#N/A</v>
      </c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4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>
        <f t="array" ref="N369">IFERROR(E369 * INDEX('📊 COGS'!B:B, O369), 0)</f>
        <v>0</v>
      </c>
      <c r="O369" s="7" t="str">
        <f>MATCH(TRIM(C369), '📊 COGS'!A:A, 0)</f>
        <v>#N/A</v>
      </c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4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>
        <f t="array" ref="N370">IFERROR(E370 * INDEX('📊 COGS'!B:B, O370), 0)</f>
        <v>0</v>
      </c>
      <c r="O370" s="7" t="str">
        <f>MATCH(TRIM(C370), '📊 COGS'!A:A, 0)</f>
        <v>#N/A</v>
      </c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4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>
        <f t="array" ref="N371">IFERROR(E371 * INDEX('📊 COGS'!B:B, O371), 0)</f>
        <v>0</v>
      </c>
      <c r="O371" s="7" t="str">
        <f>MATCH(TRIM(C371), '📊 COGS'!A:A, 0)</f>
        <v>#N/A</v>
      </c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4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>
        <f t="array" ref="N372">IFERROR(E372 * INDEX('📊 COGS'!B:B, O372), 0)</f>
        <v>0</v>
      </c>
      <c r="O372" s="7" t="str">
        <f>MATCH(TRIM(C372), '📊 COGS'!A:A, 0)</f>
        <v>#N/A</v>
      </c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4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>
        <f t="array" ref="N373">IFERROR(E373 * INDEX('📊 COGS'!B:B, O373), 0)</f>
        <v>0</v>
      </c>
      <c r="O373" s="7" t="str">
        <f>MATCH(TRIM(C373), '📊 COGS'!A:A, 0)</f>
        <v>#N/A</v>
      </c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4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>
        <f t="array" ref="N374">IFERROR(E374 * INDEX('📊 COGS'!B:B, O374), 0)</f>
        <v>0</v>
      </c>
      <c r="O374" s="7" t="str">
        <f>MATCH(TRIM(C374), '📊 COGS'!A:A, 0)</f>
        <v>#N/A</v>
      </c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4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>
        <f t="array" ref="N375">IFERROR(E375 * INDEX('📊 COGS'!B:B, O375), 0)</f>
        <v>0</v>
      </c>
      <c r="O375" s="7" t="str">
        <f>MATCH(TRIM(C375), '📊 COGS'!A:A, 0)</f>
        <v>#N/A</v>
      </c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4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>
        <f t="array" ref="N376">IFERROR(E376 * INDEX('📊 COGS'!B:B, O376), 0)</f>
        <v>0</v>
      </c>
      <c r="O376" s="7" t="str">
        <f>MATCH(TRIM(C376), '📊 COGS'!A:A, 0)</f>
        <v>#N/A</v>
      </c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4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>
        <f t="array" ref="N377">IFERROR(E377 * INDEX('📊 COGS'!B:B, O377), 0)</f>
        <v>0</v>
      </c>
      <c r="O377" s="7" t="str">
        <f>MATCH(TRIM(C377), '📊 COGS'!A:A, 0)</f>
        <v>#N/A</v>
      </c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4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>
        <f t="array" ref="N378">IFERROR(E378 * INDEX('📊 COGS'!B:B, O378), 0)</f>
        <v>0</v>
      </c>
      <c r="O378" s="7" t="str">
        <f>MATCH(TRIM(C378), '📊 COGS'!A:A, 0)</f>
        <v>#N/A</v>
      </c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4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>
        <f t="array" ref="N379">IFERROR(E379 * INDEX('📊 COGS'!B:B, O379), 0)</f>
        <v>0</v>
      </c>
      <c r="O379" s="7" t="str">
        <f>MATCH(TRIM(C379), '📊 COGS'!A:A, 0)</f>
        <v>#N/A</v>
      </c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4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>
        <f t="array" ref="N380">IFERROR(E380 * INDEX('📊 COGS'!B:B, O380), 0)</f>
        <v>0</v>
      </c>
      <c r="O380" s="7" t="str">
        <f>MATCH(TRIM(C380), '📊 COGS'!A:A, 0)</f>
        <v>#N/A</v>
      </c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4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>
        <f t="array" ref="N381">IFERROR(E381 * INDEX('📊 COGS'!B:B, O381), 0)</f>
        <v>0</v>
      </c>
      <c r="O381" s="7" t="str">
        <f>MATCH(TRIM(C381), '📊 COGS'!A:A, 0)</f>
        <v>#N/A</v>
      </c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4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>
        <f t="array" ref="N382">IFERROR(E382 * INDEX('📊 COGS'!B:B, O382), 0)</f>
        <v>0</v>
      </c>
      <c r="O382" s="7" t="str">
        <f>MATCH(TRIM(C382), '📊 COGS'!A:A, 0)</f>
        <v>#N/A</v>
      </c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4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>
        <f t="array" ref="N383">IFERROR(E383 * INDEX('📊 COGS'!B:B, O383), 0)</f>
        <v>0</v>
      </c>
      <c r="O383" s="7" t="str">
        <f>MATCH(TRIM(C383), '📊 COGS'!A:A, 0)</f>
        <v>#N/A</v>
      </c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4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>
        <f t="array" ref="N384">IFERROR(E384 * INDEX('📊 COGS'!B:B, O384), 0)</f>
        <v>0</v>
      </c>
      <c r="O384" s="7" t="str">
        <f>MATCH(TRIM(C384), '📊 COGS'!A:A, 0)</f>
        <v>#N/A</v>
      </c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4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>
        <f t="array" ref="N385">IFERROR(E385 * INDEX('📊 COGS'!B:B, O385), 0)</f>
        <v>0</v>
      </c>
      <c r="O385" s="7" t="str">
        <f>MATCH(TRIM(C385), '📊 COGS'!A:A, 0)</f>
        <v>#N/A</v>
      </c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4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>
        <f t="array" ref="N386">IFERROR(E386 * INDEX('📊 COGS'!B:B, O386), 0)</f>
        <v>0</v>
      </c>
      <c r="O386" s="7" t="str">
        <f>MATCH(TRIM(C386), '📊 COGS'!A:A, 0)</f>
        <v>#N/A</v>
      </c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4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>
        <f t="array" ref="N387">IFERROR(E387 * INDEX('📊 COGS'!B:B, O387), 0)</f>
        <v>0</v>
      </c>
      <c r="O387" s="7" t="str">
        <f>MATCH(TRIM(C387), '📊 COGS'!A:A, 0)</f>
        <v>#N/A</v>
      </c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4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>
        <f t="array" ref="N388">IFERROR(E388 * INDEX('📊 COGS'!B:B, O388), 0)</f>
        <v>0</v>
      </c>
      <c r="O388" s="7" t="str">
        <f>MATCH(TRIM(C388), '📊 COGS'!A:A, 0)</f>
        <v>#N/A</v>
      </c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4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>
        <f t="array" ref="N389">IFERROR(E389 * INDEX('📊 COGS'!B:B, O389), 0)</f>
        <v>0</v>
      </c>
      <c r="O389" s="7" t="str">
        <f>MATCH(TRIM(C389), '📊 COGS'!A:A, 0)</f>
        <v>#N/A</v>
      </c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4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>
        <f t="array" ref="N390">IFERROR(E390 * INDEX('📊 COGS'!B:B, O390), 0)</f>
        <v>0</v>
      </c>
      <c r="O390" s="7" t="str">
        <f>MATCH(TRIM(C390), '📊 COGS'!A:A, 0)</f>
        <v>#N/A</v>
      </c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4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>
        <f t="array" ref="N391">IFERROR(E391 * INDEX('📊 COGS'!B:B, O391), 0)</f>
        <v>0</v>
      </c>
      <c r="O391" s="7" t="str">
        <f>MATCH(TRIM(C391), '📊 COGS'!A:A, 0)</f>
        <v>#N/A</v>
      </c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4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>
        <f t="array" ref="N392">IFERROR(E392 * INDEX('📊 COGS'!B:B, O392), 0)</f>
        <v>0</v>
      </c>
      <c r="O392" s="7" t="str">
        <f>MATCH(TRIM(C392), '📊 COGS'!A:A, 0)</f>
        <v>#N/A</v>
      </c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4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>
        <f t="array" ref="N393">IFERROR(E393 * INDEX('📊 COGS'!B:B, O393), 0)</f>
        <v>0</v>
      </c>
      <c r="O393" s="7" t="str">
        <f>MATCH(TRIM(C393), '📊 COGS'!A:A, 0)</f>
        <v>#N/A</v>
      </c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4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>
        <f t="array" ref="N394">IFERROR(E394 * INDEX('📊 COGS'!B:B, O394), 0)</f>
        <v>0</v>
      </c>
      <c r="O394" s="7" t="str">
        <f>MATCH(TRIM(C394), '📊 COGS'!A:A, 0)</f>
        <v>#N/A</v>
      </c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4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>
        <f t="array" ref="N395">IFERROR(E395 * INDEX('📊 COGS'!B:B, O395), 0)</f>
        <v>0</v>
      </c>
      <c r="O395" s="7" t="str">
        <f>MATCH(TRIM(C395), '📊 COGS'!A:A, 0)</f>
        <v>#N/A</v>
      </c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4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>
        <f t="array" ref="N396">IFERROR(E396 * INDEX('📊 COGS'!B:B, O396), 0)</f>
        <v>0</v>
      </c>
      <c r="O396" s="7" t="str">
        <f>MATCH(TRIM(C396), '📊 COGS'!A:A, 0)</f>
        <v>#N/A</v>
      </c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4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>
        <f t="array" ref="N397">IFERROR(E397 * INDEX('📊 COGS'!B:B, O397), 0)</f>
        <v>0</v>
      </c>
      <c r="O397" s="7" t="str">
        <f>MATCH(TRIM(C397), '📊 COGS'!A:A, 0)</f>
        <v>#N/A</v>
      </c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4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>
        <f t="array" ref="N398">IFERROR(E398 * INDEX('📊 COGS'!B:B, O398), 0)</f>
        <v>0</v>
      </c>
      <c r="O398" s="7" t="str">
        <f>MATCH(TRIM(C398), '📊 COGS'!A:A, 0)</f>
        <v>#N/A</v>
      </c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4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>
        <f t="array" ref="N399">IFERROR(E399 * INDEX('📊 COGS'!B:B, O399), 0)</f>
        <v>0</v>
      </c>
      <c r="O399" s="7" t="str">
        <f>MATCH(TRIM(C399), '📊 COGS'!A:A, 0)</f>
        <v>#N/A</v>
      </c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4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>
        <f t="array" ref="N400">IFERROR(E400 * INDEX('📊 COGS'!B:B, O400), 0)</f>
        <v>0</v>
      </c>
      <c r="O400" s="7" t="str">
        <f>MATCH(TRIM(C400), '📊 COGS'!A:A, 0)</f>
        <v>#N/A</v>
      </c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4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>
        <f t="array" ref="N401">IFERROR(E401 * INDEX('📊 COGS'!B:B, O401), 0)</f>
        <v>0</v>
      </c>
      <c r="O401" s="7" t="str">
        <f>MATCH(TRIM(C401), '📊 COGS'!A:A, 0)</f>
        <v>#N/A</v>
      </c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4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>
        <f t="array" ref="N402">IFERROR(E402 * INDEX('📊 COGS'!B:B, O402), 0)</f>
        <v>0</v>
      </c>
      <c r="O402" s="7" t="str">
        <f>MATCH(TRIM(C402), '📊 COGS'!A:A, 0)</f>
        <v>#N/A</v>
      </c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4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>
        <f t="array" ref="N403">IFERROR(E403 * INDEX('📊 COGS'!B:B, O403), 0)</f>
        <v>0</v>
      </c>
      <c r="O403" s="7" t="str">
        <f>MATCH(TRIM(C403), '📊 COGS'!A:A, 0)</f>
        <v>#N/A</v>
      </c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4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>
        <f t="array" ref="N404">IFERROR(E404 * INDEX('📊 COGS'!B:B, O404), 0)</f>
        <v>0</v>
      </c>
      <c r="O404" s="7" t="str">
        <f>MATCH(TRIM(C404), '📊 COGS'!A:A, 0)</f>
        <v>#N/A</v>
      </c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4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>
        <f t="array" ref="N405">IFERROR(E405 * INDEX('📊 COGS'!B:B, O405), 0)</f>
        <v>0</v>
      </c>
      <c r="O405" s="7" t="str">
        <f>MATCH(TRIM(C405), '📊 COGS'!A:A, 0)</f>
        <v>#N/A</v>
      </c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4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>
        <f t="array" ref="N406">IFERROR(E406 * INDEX('📊 COGS'!B:B, O406), 0)</f>
        <v>0</v>
      </c>
      <c r="O406" s="7" t="str">
        <f>MATCH(TRIM(C406), '📊 COGS'!A:A, 0)</f>
        <v>#N/A</v>
      </c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4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>
        <f t="array" ref="N407">IFERROR(E407 * INDEX('📊 COGS'!B:B, O407), 0)</f>
        <v>0</v>
      </c>
      <c r="O407" s="7" t="str">
        <f>MATCH(TRIM(C407), '📊 COGS'!A:A, 0)</f>
        <v>#N/A</v>
      </c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4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>
        <f t="array" ref="N408">IFERROR(E408 * INDEX('📊 COGS'!B:B, O408), 0)</f>
        <v>0</v>
      </c>
      <c r="O408" s="7" t="str">
        <f>MATCH(TRIM(C408), '📊 COGS'!A:A, 0)</f>
        <v>#N/A</v>
      </c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4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>
        <f t="array" ref="N409">IFERROR(E409 * INDEX('📊 COGS'!B:B, O409), 0)</f>
        <v>0</v>
      </c>
      <c r="O409" s="7" t="str">
        <f>MATCH(TRIM(C409), '📊 COGS'!A:A, 0)</f>
        <v>#N/A</v>
      </c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4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>
        <f t="array" ref="N410">IFERROR(E410 * INDEX('📊 COGS'!B:B, O410), 0)</f>
        <v>0</v>
      </c>
      <c r="O410" s="7" t="str">
        <f>MATCH(TRIM(C410), '📊 COGS'!A:A, 0)</f>
        <v>#N/A</v>
      </c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4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>
        <f t="array" ref="N411">IFERROR(E411 * INDEX('📊 COGS'!B:B, O411), 0)</f>
        <v>0</v>
      </c>
      <c r="O411" s="7" t="str">
        <f>MATCH(TRIM(C411), '📊 COGS'!A:A, 0)</f>
        <v>#N/A</v>
      </c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4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>
        <f t="array" ref="N412">IFERROR(E412 * INDEX('📊 COGS'!B:B, O412), 0)</f>
        <v>0</v>
      </c>
      <c r="O412" s="7" t="str">
        <f>MATCH(TRIM(C412), '📊 COGS'!A:A, 0)</f>
        <v>#N/A</v>
      </c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4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>
        <f t="array" ref="N413">IFERROR(E413 * INDEX('📊 COGS'!B:B, O413), 0)</f>
        <v>0</v>
      </c>
      <c r="O413" s="7" t="str">
        <f>MATCH(TRIM(C413), '📊 COGS'!A:A, 0)</f>
        <v>#N/A</v>
      </c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4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>
        <f t="array" ref="N414">IFERROR(E414 * INDEX('📊 COGS'!B:B, O414), 0)</f>
        <v>0</v>
      </c>
      <c r="O414" s="7" t="str">
        <f>MATCH(TRIM(C414), '📊 COGS'!A:A, 0)</f>
        <v>#N/A</v>
      </c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4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>
        <f t="array" ref="N415">IFERROR(E415 * INDEX('📊 COGS'!B:B, O415), 0)</f>
        <v>0</v>
      </c>
      <c r="O415" s="7" t="str">
        <f>MATCH(TRIM(C415), '📊 COGS'!A:A, 0)</f>
        <v>#N/A</v>
      </c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4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>
        <f t="array" ref="N416">IFERROR(E416 * INDEX('📊 COGS'!B:B, O416), 0)</f>
        <v>0</v>
      </c>
      <c r="O416" s="7" t="str">
        <f>MATCH(TRIM(C416), '📊 COGS'!A:A, 0)</f>
        <v>#N/A</v>
      </c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4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>
        <f t="array" ref="N417">IFERROR(E417 * INDEX('📊 COGS'!B:B, O417), 0)</f>
        <v>0</v>
      </c>
      <c r="O417" s="7" t="str">
        <f>MATCH(TRIM(C417), '📊 COGS'!A:A, 0)</f>
        <v>#N/A</v>
      </c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4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>
        <f t="array" ref="N418">IFERROR(E418 * INDEX('📊 COGS'!B:B, O418), 0)</f>
        <v>0</v>
      </c>
      <c r="O418" s="7" t="str">
        <f>MATCH(TRIM(C418), '📊 COGS'!A:A, 0)</f>
        <v>#N/A</v>
      </c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4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>
        <f t="array" ref="N419">IFERROR(E419 * INDEX('📊 COGS'!B:B, O419), 0)</f>
        <v>0</v>
      </c>
      <c r="O419" s="7" t="str">
        <f>MATCH(TRIM(C419), '📊 COGS'!A:A, 0)</f>
        <v>#N/A</v>
      </c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4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>
        <f t="array" ref="N420">IFERROR(E420 * INDEX('📊 COGS'!B:B, O420), 0)</f>
        <v>0</v>
      </c>
      <c r="O420" s="7" t="str">
        <f>MATCH(TRIM(C420), '📊 COGS'!A:A, 0)</f>
        <v>#N/A</v>
      </c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4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>
        <f t="array" ref="N421">IFERROR(E421 * INDEX('📊 COGS'!B:B, O421), 0)</f>
        <v>0</v>
      </c>
      <c r="O421" s="7" t="str">
        <f>MATCH(TRIM(C421), '📊 COGS'!A:A, 0)</f>
        <v>#N/A</v>
      </c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4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>
        <f t="array" ref="N422">IFERROR(E422 * INDEX('📊 COGS'!B:B, O422), 0)</f>
        <v>0</v>
      </c>
      <c r="O422" s="7" t="str">
        <f>MATCH(TRIM(C422), '📊 COGS'!A:A, 0)</f>
        <v>#N/A</v>
      </c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4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>
        <f t="array" ref="N423">IFERROR(E423 * INDEX('📊 COGS'!B:B, O423), 0)</f>
        <v>0</v>
      </c>
      <c r="O423" s="7" t="str">
        <f>MATCH(TRIM(C423), '📊 COGS'!A:A, 0)</f>
        <v>#N/A</v>
      </c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4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>
        <f t="array" ref="N424">IFERROR(E424 * INDEX('📊 COGS'!B:B, O424), 0)</f>
        <v>0</v>
      </c>
      <c r="O424" s="7" t="str">
        <f>MATCH(TRIM(C424), '📊 COGS'!A:A, 0)</f>
        <v>#N/A</v>
      </c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4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>
        <f t="array" ref="N425">IFERROR(E425 * INDEX('📊 COGS'!B:B, O425), 0)</f>
        <v>0</v>
      </c>
      <c r="O425" s="7" t="str">
        <f>MATCH(TRIM(C425), '📊 COGS'!A:A, 0)</f>
        <v>#N/A</v>
      </c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4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>
        <f t="array" ref="N426">IFERROR(E426 * INDEX('📊 COGS'!B:B, O426), 0)</f>
        <v>0</v>
      </c>
      <c r="O426" s="7" t="str">
        <f>MATCH(TRIM(C426), '📊 COGS'!A:A, 0)</f>
        <v>#N/A</v>
      </c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4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>
        <f t="array" ref="N427">IFERROR(E427 * INDEX('📊 COGS'!B:B, O427), 0)</f>
        <v>0</v>
      </c>
      <c r="O427" s="7" t="str">
        <f>MATCH(TRIM(C427), '📊 COGS'!A:A, 0)</f>
        <v>#N/A</v>
      </c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4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>
        <f t="array" ref="N428">IFERROR(E428 * INDEX('📊 COGS'!B:B, O428), 0)</f>
        <v>0</v>
      </c>
      <c r="O428" s="7" t="str">
        <f>MATCH(TRIM(C428), '📊 COGS'!A:A, 0)</f>
        <v>#N/A</v>
      </c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4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>
        <f t="array" ref="N429">IFERROR(E429 * INDEX('📊 COGS'!B:B, O429), 0)</f>
        <v>0</v>
      </c>
      <c r="O429" s="7" t="str">
        <f>MATCH(TRIM(C429), '📊 COGS'!A:A, 0)</f>
        <v>#N/A</v>
      </c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4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>
        <f t="array" ref="N430">IFERROR(E430 * INDEX('📊 COGS'!B:B, O430), 0)</f>
        <v>0</v>
      </c>
      <c r="O430" s="7" t="str">
        <f>MATCH(TRIM(C430), '📊 COGS'!A:A, 0)</f>
        <v>#N/A</v>
      </c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4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>
        <f t="array" ref="N431">IFERROR(E431 * INDEX('📊 COGS'!B:B, O431), 0)</f>
        <v>0</v>
      </c>
      <c r="O431" s="7" t="str">
        <f>MATCH(TRIM(C431), '📊 COGS'!A:A, 0)</f>
        <v>#N/A</v>
      </c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4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>
        <f t="array" ref="N432">IFERROR(E432 * INDEX('📊 COGS'!B:B, O432), 0)</f>
        <v>0</v>
      </c>
      <c r="O432" s="7" t="str">
        <f>MATCH(TRIM(C432), '📊 COGS'!A:A, 0)</f>
        <v>#N/A</v>
      </c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4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>
        <f t="array" ref="N433">IFERROR(E433 * INDEX('📊 COGS'!B:B, O433), 0)</f>
        <v>0</v>
      </c>
      <c r="O433" s="7" t="str">
        <f>MATCH(TRIM(C433), '📊 COGS'!A:A, 0)</f>
        <v>#N/A</v>
      </c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4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>
        <f t="array" ref="N434">IFERROR(E434 * INDEX('📊 COGS'!B:B, O434), 0)</f>
        <v>0</v>
      </c>
      <c r="O434" s="7" t="str">
        <f>MATCH(TRIM(C434), '📊 COGS'!A:A, 0)</f>
        <v>#N/A</v>
      </c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4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>
        <f t="array" ref="N435">IFERROR(E435 * INDEX('📊 COGS'!B:B, O435), 0)</f>
        <v>0</v>
      </c>
      <c r="O435" s="7" t="str">
        <f>MATCH(TRIM(C435), '📊 COGS'!A:A, 0)</f>
        <v>#N/A</v>
      </c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4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>
        <f t="array" ref="N436">IFERROR(E436 * INDEX('📊 COGS'!B:B, O436), 0)</f>
        <v>0</v>
      </c>
      <c r="O436" s="7" t="str">
        <f>MATCH(TRIM(C436), '📊 COGS'!A:A, 0)</f>
        <v>#N/A</v>
      </c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4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>
        <f t="array" ref="N437">IFERROR(E437 * INDEX('📊 COGS'!B:B, O437), 0)</f>
        <v>0</v>
      </c>
      <c r="O437" s="7" t="str">
        <f>MATCH(TRIM(C437), '📊 COGS'!A:A, 0)</f>
        <v>#N/A</v>
      </c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4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>
        <f t="array" ref="N438">IFERROR(E438 * INDEX('📊 COGS'!B:B, O438), 0)</f>
        <v>0</v>
      </c>
      <c r="O438" s="7" t="str">
        <f>MATCH(TRIM(C438), '📊 COGS'!A:A, 0)</f>
        <v>#N/A</v>
      </c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4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>
        <f t="array" ref="N439">IFERROR(E439 * INDEX('📊 COGS'!B:B, O439), 0)</f>
        <v>0</v>
      </c>
      <c r="O439" s="7" t="str">
        <f>MATCH(TRIM(C439), '📊 COGS'!A:A, 0)</f>
        <v>#N/A</v>
      </c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4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>
        <f t="array" ref="N440">IFERROR(E440 * INDEX('📊 COGS'!B:B, O440), 0)</f>
        <v>0</v>
      </c>
      <c r="O440" s="7" t="str">
        <f>MATCH(TRIM(C440), '📊 COGS'!A:A, 0)</f>
        <v>#N/A</v>
      </c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4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>
        <f t="array" ref="N441">IFERROR(E441 * INDEX('📊 COGS'!B:B, O441), 0)</f>
        <v>0</v>
      </c>
      <c r="O441" s="7" t="str">
        <f>MATCH(TRIM(C441), '📊 COGS'!A:A, 0)</f>
        <v>#N/A</v>
      </c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4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>
        <f t="array" ref="N442">IFERROR(E442 * INDEX('📊 COGS'!B:B, O442), 0)</f>
        <v>0</v>
      </c>
      <c r="O442" s="7" t="str">
        <f>MATCH(TRIM(C442), '📊 COGS'!A:A, 0)</f>
        <v>#N/A</v>
      </c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4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>
        <f t="array" ref="N443">IFERROR(E443 * INDEX('📊 COGS'!B:B, O443), 0)</f>
        <v>0</v>
      </c>
      <c r="O443" s="7" t="str">
        <f>MATCH(TRIM(C443), '📊 COGS'!A:A, 0)</f>
        <v>#N/A</v>
      </c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4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>
        <f t="array" ref="N444">IFERROR(E444 * INDEX('📊 COGS'!B:B, O444), 0)</f>
        <v>0</v>
      </c>
      <c r="O444" s="7" t="str">
        <f>MATCH(TRIM(C444), '📊 COGS'!A:A, 0)</f>
        <v>#N/A</v>
      </c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4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>
        <f t="array" ref="N445">IFERROR(E445 * INDEX('📊 COGS'!B:B, O445), 0)</f>
        <v>0</v>
      </c>
      <c r="O445" s="7" t="str">
        <f>MATCH(TRIM(C445), '📊 COGS'!A:A, 0)</f>
        <v>#N/A</v>
      </c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4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>
        <f t="array" ref="N446">IFERROR(E446 * INDEX('📊 COGS'!B:B, O446), 0)</f>
        <v>0</v>
      </c>
      <c r="O446" s="7" t="str">
        <f>MATCH(TRIM(C446), '📊 COGS'!A:A, 0)</f>
        <v>#N/A</v>
      </c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4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>
        <f t="array" ref="N447">IFERROR(E447 * INDEX('📊 COGS'!B:B, O447), 0)</f>
        <v>0</v>
      </c>
      <c r="O447" s="7" t="str">
        <f>MATCH(TRIM(C447), '📊 COGS'!A:A, 0)</f>
        <v>#N/A</v>
      </c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4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>
        <f t="array" ref="N448">IFERROR(E448 * INDEX('📊 COGS'!B:B, O448), 0)</f>
        <v>0</v>
      </c>
      <c r="O448" s="7" t="str">
        <f>MATCH(TRIM(C448), '📊 COGS'!A:A, 0)</f>
        <v>#N/A</v>
      </c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4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>
        <f t="array" ref="N449">IFERROR(E449 * INDEX('📊 COGS'!B:B, O449), 0)</f>
        <v>0</v>
      </c>
      <c r="O449" s="7" t="str">
        <f>MATCH(TRIM(C449), '📊 COGS'!A:A, 0)</f>
        <v>#N/A</v>
      </c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4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>
        <f t="array" ref="N450">IFERROR(E450 * INDEX('📊 COGS'!B:B, O450), 0)</f>
        <v>0</v>
      </c>
      <c r="O450" s="7" t="str">
        <f>MATCH(TRIM(C450), '📊 COGS'!A:A, 0)</f>
        <v>#N/A</v>
      </c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4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>
        <f t="array" ref="N451">IFERROR(E451 * INDEX('📊 COGS'!B:B, O451), 0)</f>
        <v>0</v>
      </c>
      <c r="O451" s="7" t="str">
        <f>MATCH(TRIM(C451), '📊 COGS'!A:A, 0)</f>
        <v>#N/A</v>
      </c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4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>
        <f t="array" ref="N452">IFERROR(E452 * INDEX('📊 COGS'!B:B, O452), 0)</f>
        <v>0</v>
      </c>
      <c r="O452" s="7" t="str">
        <f>MATCH(TRIM(C452), '📊 COGS'!A:A, 0)</f>
        <v>#N/A</v>
      </c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4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>
        <f t="array" ref="N453">IFERROR(E453 * INDEX('📊 COGS'!B:B, O453), 0)</f>
        <v>0</v>
      </c>
      <c r="O453" s="7" t="str">
        <f>MATCH(TRIM(C453), '📊 COGS'!A:A, 0)</f>
        <v>#N/A</v>
      </c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4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>
        <f t="array" ref="N454">IFERROR(E454 * INDEX('📊 COGS'!B:B, O454), 0)</f>
        <v>0</v>
      </c>
      <c r="O454" s="7" t="str">
        <f>MATCH(TRIM(C454), '📊 COGS'!A:A, 0)</f>
        <v>#N/A</v>
      </c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4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>
        <f t="array" ref="N455">IFERROR(E455 * INDEX('📊 COGS'!B:B, O455), 0)</f>
        <v>0</v>
      </c>
      <c r="O455" s="7" t="str">
        <f>MATCH(TRIM(C455), '📊 COGS'!A:A, 0)</f>
        <v>#N/A</v>
      </c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4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>
        <f t="array" ref="N456">IFERROR(E456 * INDEX('📊 COGS'!B:B, O456), 0)</f>
        <v>0</v>
      </c>
      <c r="O456" s="7" t="str">
        <f>MATCH(TRIM(C456), '📊 COGS'!A:A, 0)</f>
        <v>#N/A</v>
      </c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4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>
        <f t="array" ref="N457">IFERROR(E457 * INDEX('📊 COGS'!B:B, O457), 0)</f>
        <v>0</v>
      </c>
      <c r="O457" s="7" t="str">
        <f>MATCH(TRIM(C457), '📊 COGS'!A:A, 0)</f>
        <v>#N/A</v>
      </c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4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>
        <f t="array" ref="N458">IFERROR(E458 * INDEX('📊 COGS'!B:B, O458), 0)</f>
        <v>0</v>
      </c>
      <c r="O458" s="7" t="str">
        <f>MATCH(TRIM(C458), '📊 COGS'!A:A, 0)</f>
        <v>#N/A</v>
      </c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4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>
        <f t="array" ref="N459">IFERROR(E459 * INDEX('📊 COGS'!B:B, O459), 0)</f>
        <v>0</v>
      </c>
      <c r="O459" s="7" t="str">
        <f>MATCH(TRIM(C459), '📊 COGS'!A:A, 0)</f>
        <v>#N/A</v>
      </c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4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>
        <f t="array" ref="N460">IFERROR(E460 * INDEX('📊 COGS'!B:B, O460), 0)</f>
        <v>0</v>
      </c>
      <c r="O460" s="7" t="str">
        <f>MATCH(TRIM(C460), '📊 COGS'!A:A, 0)</f>
        <v>#N/A</v>
      </c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4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>
        <f t="array" ref="N461">IFERROR(E461 * INDEX('📊 COGS'!B:B, O461), 0)</f>
        <v>0</v>
      </c>
      <c r="O461" s="7" t="str">
        <f>MATCH(TRIM(C461), '📊 COGS'!A:A, 0)</f>
        <v>#N/A</v>
      </c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4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>
        <f t="array" ref="N462">IFERROR(E462 * INDEX('📊 COGS'!B:B, O462), 0)</f>
        <v>0</v>
      </c>
      <c r="O462" s="7" t="str">
        <f>MATCH(TRIM(C462), '📊 COGS'!A:A, 0)</f>
        <v>#N/A</v>
      </c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4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>
        <f t="array" ref="N463">IFERROR(E463 * INDEX('📊 COGS'!B:B, O463), 0)</f>
        <v>0</v>
      </c>
      <c r="O463" s="7" t="str">
        <f>MATCH(TRIM(C463), '📊 COGS'!A:A, 0)</f>
        <v>#N/A</v>
      </c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4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>
        <f t="array" ref="N464">IFERROR(E464 * INDEX('📊 COGS'!B:B, O464), 0)</f>
        <v>0</v>
      </c>
      <c r="O464" s="7" t="str">
        <f>MATCH(TRIM(C464), '📊 COGS'!A:A, 0)</f>
        <v>#N/A</v>
      </c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4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>
        <f t="array" ref="N465">IFERROR(E465 * INDEX('📊 COGS'!B:B, O465), 0)</f>
        <v>0</v>
      </c>
      <c r="O465" s="7" t="str">
        <f>MATCH(TRIM(C465), '📊 COGS'!A:A, 0)</f>
        <v>#N/A</v>
      </c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4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>
        <f t="array" ref="N466">IFERROR(E466 * INDEX('📊 COGS'!B:B, O466), 0)</f>
        <v>0</v>
      </c>
      <c r="O466" s="7" t="str">
        <f>MATCH(TRIM(C466), '📊 COGS'!A:A, 0)</f>
        <v>#N/A</v>
      </c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4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>
        <f t="array" ref="N467">IFERROR(E467 * INDEX('📊 COGS'!B:B, O467), 0)</f>
        <v>0</v>
      </c>
      <c r="O467" s="7" t="str">
        <f>MATCH(TRIM(C467), '📊 COGS'!A:A, 0)</f>
        <v>#N/A</v>
      </c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4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>
        <f t="array" ref="N468">IFERROR(E468 * INDEX('📊 COGS'!B:B, O468), 0)</f>
        <v>0</v>
      </c>
      <c r="O468" s="7" t="str">
        <f>MATCH(TRIM(C468), '📊 COGS'!A:A, 0)</f>
        <v>#N/A</v>
      </c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4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>
        <f t="array" ref="N469">IFERROR(E469 * INDEX('📊 COGS'!B:B, O469), 0)</f>
        <v>0</v>
      </c>
      <c r="O469" s="7" t="str">
        <f>MATCH(TRIM(C469), '📊 COGS'!A:A, 0)</f>
        <v>#N/A</v>
      </c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4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>
        <f t="array" ref="N470">IFERROR(E470 * INDEX('📊 COGS'!B:B, O470), 0)</f>
        <v>0</v>
      </c>
      <c r="O470" s="7" t="str">
        <f>MATCH(TRIM(C470), '📊 COGS'!A:A, 0)</f>
        <v>#N/A</v>
      </c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4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>
        <f t="array" ref="N471">IFERROR(E471 * INDEX('📊 COGS'!B:B, O471), 0)</f>
        <v>0</v>
      </c>
      <c r="O471" s="7" t="str">
        <f>MATCH(TRIM(C471), '📊 COGS'!A:A, 0)</f>
        <v>#N/A</v>
      </c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4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>
        <f t="array" ref="N472">IFERROR(E472 * INDEX('📊 COGS'!B:B, O472), 0)</f>
        <v>0</v>
      </c>
      <c r="O472" s="7" t="str">
        <f>MATCH(TRIM(C472), '📊 COGS'!A:A, 0)</f>
        <v>#N/A</v>
      </c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4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>
        <f t="array" ref="N473">IFERROR(E473 * INDEX('📊 COGS'!B:B, O473), 0)</f>
        <v>0</v>
      </c>
      <c r="O473" s="7" t="str">
        <f>MATCH(TRIM(C473), '📊 COGS'!A:A, 0)</f>
        <v>#N/A</v>
      </c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4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>
        <f t="array" ref="N474">IFERROR(E474 * INDEX('📊 COGS'!B:B, O474), 0)</f>
        <v>0</v>
      </c>
      <c r="O474" s="7" t="str">
        <f>MATCH(TRIM(C474), '📊 COGS'!A:A, 0)</f>
        <v>#N/A</v>
      </c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4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>
        <f t="array" ref="N475">IFERROR(E475 * INDEX('📊 COGS'!B:B, O475), 0)</f>
        <v>0</v>
      </c>
      <c r="O475" s="7" t="str">
        <f>MATCH(TRIM(C475), '📊 COGS'!A:A, 0)</f>
        <v>#N/A</v>
      </c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4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>
        <f t="array" ref="N476">IFERROR(E476 * INDEX('📊 COGS'!B:B, O476), 0)</f>
        <v>0</v>
      </c>
      <c r="O476" s="7" t="str">
        <f>MATCH(TRIM(C476), '📊 COGS'!A:A, 0)</f>
        <v>#N/A</v>
      </c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4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>
        <f t="array" ref="N477">IFERROR(E477 * INDEX('📊 COGS'!B:B, O477), 0)</f>
        <v>0</v>
      </c>
      <c r="O477" s="7" t="str">
        <f>MATCH(TRIM(C477), '📊 COGS'!A:A, 0)</f>
        <v>#N/A</v>
      </c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4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>
        <f t="array" ref="N478">IFERROR(E478 * INDEX('📊 COGS'!B:B, O478), 0)</f>
        <v>0</v>
      </c>
      <c r="O478" s="7" t="str">
        <f>MATCH(TRIM(C478), '📊 COGS'!A:A, 0)</f>
        <v>#N/A</v>
      </c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4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>
        <f t="array" ref="N479">IFERROR(E479 * INDEX('📊 COGS'!B:B, O479), 0)</f>
        <v>0</v>
      </c>
      <c r="O479" s="7" t="str">
        <f>MATCH(TRIM(C479), '📊 COGS'!A:A, 0)</f>
        <v>#N/A</v>
      </c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4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>
        <f t="array" ref="N480">IFERROR(E480 * INDEX('📊 COGS'!B:B, O480), 0)</f>
        <v>0</v>
      </c>
      <c r="O480" s="7" t="str">
        <f>MATCH(TRIM(C480), '📊 COGS'!A:A, 0)</f>
        <v>#N/A</v>
      </c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4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>
        <f t="array" ref="N481">IFERROR(E481 * INDEX('📊 COGS'!B:B, O481), 0)</f>
        <v>0</v>
      </c>
      <c r="O481" s="7" t="str">
        <f>MATCH(TRIM(C481), '📊 COGS'!A:A, 0)</f>
        <v>#N/A</v>
      </c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4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>
        <f t="array" ref="N482">IFERROR(E482 * INDEX('📊 COGS'!B:B, O482), 0)</f>
        <v>0</v>
      </c>
      <c r="O482" s="7" t="str">
        <f>MATCH(TRIM(C482), '📊 COGS'!A:A, 0)</f>
        <v>#N/A</v>
      </c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4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>
        <f t="array" ref="N483">IFERROR(E483 * INDEX('📊 COGS'!B:B, O483), 0)</f>
        <v>0</v>
      </c>
      <c r="O483" s="7" t="str">
        <f>MATCH(TRIM(C483), '📊 COGS'!A:A, 0)</f>
        <v>#N/A</v>
      </c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4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>
        <f t="array" ref="N484">IFERROR(E484 * INDEX('📊 COGS'!B:B, O484), 0)</f>
        <v>0</v>
      </c>
      <c r="O484" s="7" t="str">
        <f>MATCH(TRIM(C484), '📊 COGS'!A:A, 0)</f>
        <v>#N/A</v>
      </c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4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>
        <f t="array" ref="N485">IFERROR(E485 * INDEX('📊 COGS'!B:B, O485), 0)</f>
        <v>0</v>
      </c>
      <c r="O485" s="7" t="str">
        <f>MATCH(TRIM(C485), '📊 COGS'!A:A, 0)</f>
        <v>#N/A</v>
      </c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4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>
        <f t="array" ref="N486">IFERROR(E486 * INDEX('📊 COGS'!B:B, O486), 0)</f>
        <v>0</v>
      </c>
      <c r="O486" s="7" t="str">
        <f>MATCH(TRIM(C486), '📊 COGS'!A:A, 0)</f>
        <v>#N/A</v>
      </c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4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>
        <f t="array" ref="N487">IFERROR(E487 * INDEX('📊 COGS'!B:B, O487), 0)</f>
        <v>0</v>
      </c>
      <c r="O487" s="7" t="str">
        <f>MATCH(TRIM(C487), '📊 COGS'!A:A, 0)</f>
        <v>#N/A</v>
      </c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4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>
        <f t="array" ref="N488">IFERROR(E488 * INDEX('📊 COGS'!B:B, O488), 0)</f>
        <v>0</v>
      </c>
      <c r="O488" s="7" t="str">
        <f>MATCH(TRIM(C488), '📊 COGS'!A:A, 0)</f>
        <v>#N/A</v>
      </c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4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>
        <f t="array" ref="N489">IFERROR(E489 * INDEX('📊 COGS'!B:B, O489), 0)</f>
        <v>0</v>
      </c>
      <c r="O489" s="7" t="str">
        <f>MATCH(TRIM(C489), '📊 COGS'!A:A, 0)</f>
        <v>#N/A</v>
      </c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4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>
        <f t="array" ref="N490">IFERROR(E490 * INDEX('📊 COGS'!B:B, O490), 0)</f>
        <v>0</v>
      </c>
      <c r="O490" s="7" t="str">
        <f>MATCH(TRIM(C490), '📊 COGS'!A:A, 0)</f>
        <v>#N/A</v>
      </c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4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>
        <f t="array" ref="N491">IFERROR(E491 * INDEX('📊 COGS'!B:B, O491), 0)</f>
        <v>0</v>
      </c>
      <c r="O491" s="7" t="str">
        <f>MATCH(TRIM(C491), '📊 COGS'!A:A, 0)</f>
        <v>#N/A</v>
      </c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4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>
        <f t="array" ref="N492">IFERROR(E492 * INDEX('📊 COGS'!B:B, O492), 0)</f>
        <v>0</v>
      </c>
      <c r="O492" s="7" t="str">
        <f>MATCH(TRIM(C492), '📊 COGS'!A:A, 0)</f>
        <v>#N/A</v>
      </c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4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>
        <f t="array" ref="N493">IFERROR(E493 * INDEX('📊 COGS'!B:B, O493), 0)</f>
        <v>0</v>
      </c>
      <c r="O493" s="7" t="str">
        <f>MATCH(TRIM(C493), '📊 COGS'!A:A, 0)</f>
        <v>#N/A</v>
      </c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4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>
        <f t="array" ref="N494">IFERROR(E494 * INDEX('📊 COGS'!B:B, O494), 0)</f>
        <v>0</v>
      </c>
      <c r="O494" s="7" t="str">
        <f>MATCH(TRIM(C494), '📊 COGS'!A:A, 0)</f>
        <v>#N/A</v>
      </c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4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>
        <f t="array" ref="N495">IFERROR(E495 * INDEX('📊 COGS'!B:B, O495), 0)</f>
        <v>0</v>
      </c>
      <c r="O495" s="7" t="str">
        <f>MATCH(TRIM(C495), '📊 COGS'!A:A, 0)</f>
        <v>#N/A</v>
      </c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4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>
        <f t="array" ref="N496">IFERROR(E496 * INDEX('📊 COGS'!B:B, O496), 0)</f>
        <v>0</v>
      </c>
      <c r="O496" s="7" t="str">
        <f>MATCH(TRIM(C496), '📊 COGS'!A:A, 0)</f>
        <v>#N/A</v>
      </c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4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>
        <f t="array" ref="N497">IFERROR(E497 * INDEX('📊 COGS'!B:B, O497), 0)</f>
        <v>0</v>
      </c>
      <c r="O497" s="7" t="str">
        <f>MATCH(TRIM(C497), '📊 COGS'!A:A, 0)</f>
        <v>#N/A</v>
      </c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4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>
        <f t="array" ref="N498">IFERROR(E498 * INDEX('📊 COGS'!B:B, O498), 0)</f>
        <v>0</v>
      </c>
      <c r="O498" s="7" t="str">
        <f>MATCH(TRIM(C498), '📊 COGS'!A:A, 0)</f>
        <v>#N/A</v>
      </c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4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>
        <f t="array" ref="N499">IFERROR(E499 * INDEX('📊 COGS'!B:B, O499), 0)</f>
        <v>0</v>
      </c>
      <c r="O499" s="7" t="str">
        <f>MATCH(TRIM(C499), '📊 COGS'!A:A, 0)</f>
        <v>#N/A</v>
      </c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4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>
        <f t="array" ref="N500">IFERROR(E500 * INDEX('📊 COGS'!B:B, O500), 0)</f>
        <v>0</v>
      </c>
      <c r="O500" s="7" t="str">
        <f>MATCH(TRIM(C500), '📊 COGS'!A:A, 0)</f>
        <v>#N/A</v>
      </c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4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>
        <f t="array" ref="N501:N1000">IFERROR(E501:E1000 * VLOOKUP(C501:C1000, '📊 COGS'!A:B, 2, FALSE), 0)</f>
        <v>0</v>
      </c>
      <c r="O501" s="7" t="str">
        <f>MATCH(TRIM(C501), '📊 COGS'!A:A, 0)</f>
        <v>#N/A</v>
      </c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>
        <v>0.0</v>
      </c>
      <c r="O502" s="7" t="str">
        <f>MATCH(TRIM(C502), '📊 COGS'!A:A, 0)</f>
        <v>#N/A</v>
      </c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>
        <v>0.0</v>
      </c>
      <c r="O503" s="7" t="str">
        <f>MATCH(TRIM(C503), '📊 COGS'!A:A, 0)</f>
        <v>#N/A</v>
      </c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>
        <v>0.0</v>
      </c>
      <c r="O504" s="7" t="str">
        <f>MATCH(TRIM(C504), '📊 COGS'!A:A, 0)</f>
        <v>#N/A</v>
      </c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>
        <v>0.0</v>
      </c>
      <c r="O505" s="7" t="str">
        <f>MATCH(TRIM(C505), '📊 COGS'!A:A, 0)</f>
        <v>#N/A</v>
      </c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>
        <v>0.0</v>
      </c>
      <c r="O506" s="7" t="str">
        <f>MATCH(TRIM(C506), '📊 COGS'!A:A, 0)</f>
        <v>#N/A</v>
      </c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>
        <v>0.0</v>
      </c>
      <c r="O507" s="7" t="str">
        <f>MATCH(TRIM(C507), '📊 COGS'!A:A, 0)</f>
        <v>#N/A</v>
      </c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>
        <v>0.0</v>
      </c>
      <c r="O508" s="7" t="str">
        <f>MATCH(TRIM(C508), '📊 COGS'!A:A, 0)</f>
        <v>#N/A</v>
      </c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>
        <v>0.0</v>
      </c>
      <c r="O509" s="7" t="str">
        <f>MATCH(TRIM(C509), '📊 COGS'!A:A, 0)</f>
        <v>#N/A</v>
      </c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>
        <v>0.0</v>
      </c>
      <c r="O510" s="7" t="str">
        <f>MATCH(TRIM(C510), '📊 COGS'!A:A, 0)</f>
        <v>#N/A</v>
      </c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>
        <v>0.0</v>
      </c>
      <c r="O511" s="7" t="str">
        <f>MATCH(TRIM(C511), '📊 COGS'!A:A, 0)</f>
        <v>#N/A</v>
      </c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>
        <v>0.0</v>
      </c>
      <c r="O512" s="7" t="str">
        <f>MATCH(TRIM(C512), '📊 COGS'!A:A, 0)</f>
        <v>#N/A</v>
      </c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>
        <v>0.0</v>
      </c>
      <c r="O513" s="7" t="str">
        <f>MATCH(TRIM(C513), '📊 COGS'!A:A, 0)</f>
        <v>#N/A</v>
      </c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>
        <v>0.0</v>
      </c>
      <c r="O514" s="7" t="str">
        <f>MATCH(TRIM(C514), '📊 COGS'!A:A, 0)</f>
        <v>#N/A</v>
      </c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>
        <v>0.0</v>
      </c>
      <c r="O515" s="7" t="str">
        <f>MATCH(TRIM(C515), '📊 COGS'!A:A, 0)</f>
        <v>#N/A</v>
      </c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>
        <v>0.0</v>
      </c>
      <c r="O516" s="7" t="str">
        <f>MATCH(TRIM(C516), '📊 COGS'!A:A, 0)</f>
        <v>#N/A</v>
      </c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>
        <v>0.0</v>
      </c>
      <c r="O517" s="7" t="str">
        <f>MATCH(TRIM(C517), '📊 COGS'!A:A, 0)</f>
        <v>#N/A</v>
      </c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>
        <v>0.0</v>
      </c>
      <c r="O518" s="7" t="str">
        <f>MATCH(TRIM(C518), '📊 COGS'!A:A, 0)</f>
        <v>#N/A</v>
      </c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>
        <v>0.0</v>
      </c>
      <c r="O519" s="7" t="str">
        <f>MATCH(TRIM(C519), '📊 COGS'!A:A, 0)</f>
        <v>#N/A</v>
      </c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>
        <v>0.0</v>
      </c>
      <c r="O520" s="7" t="str">
        <f>MATCH(TRIM(C520), '📊 COGS'!A:A, 0)</f>
        <v>#N/A</v>
      </c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>
        <v>0.0</v>
      </c>
      <c r="O521" s="7" t="str">
        <f>MATCH(TRIM(C521), '📊 COGS'!A:A, 0)</f>
        <v>#N/A</v>
      </c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>
        <v>0.0</v>
      </c>
      <c r="O522" s="7" t="str">
        <f>MATCH(TRIM(C522), '📊 COGS'!A:A, 0)</f>
        <v>#N/A</v>
      </c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>
        <v>0.0</v>
      </c>
      <c r="O523" s="7" t="str">
        <f>MATCH(TRIM(C523), '📊 COGS'!A:A, 0)</f>
        <v>#N/A</v>
      </c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>
        <v>0.0</v>
      </c>
      <c r="O524" s="7" t="str">
        <f>MATCH(TRIM(C524), '📊 COGS'!A:A, 0)</f>
        <v>#N/A</v>
      </c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>
        <v>0.0</v>
      </c>
      <c r="O525" s="7" t="str">
        <f>MATCH(TRIM(C525), '📊 COGS'!A:A, 0)</f>
        <v>#N/A</v>
      </c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>
        <v>0.0</v>
      </c>
      <c r="O526" s="7" t="str">
        <f>MATCH(TRIM(C526), '📊 COGS'!A:A, 0)</f>
        <v>#N/A</v>
      </c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>
        <v>0.0</v>
      </c>
      <c r="O527" s="7" t="str">
        <f>MATCH(TRIM(C527), '📊 COGS'!A:A, 0)</f>
        <v>#N/A</v>
      </c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>
        <v>0.0</v>
      </c>
      <c r="O528" s="7" t="str">
        <f>MATCH(TRIM(C528), '📊 COGS'!A:A, 0)</f>
        <v>#N/A</v>
      </c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>
        <v>0.0</v>
      </c>
      <c r="O529" s="7" t="str">
        <f>MATCH(TRIM(C529), '📊 COGS'!A:A, 0)</f>
        <v>#N/A</v>
      </c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>
        <v>0.0</v>
      </c>
      <c r="O530" s="7" t="str">
        <f>MATCH(TRIM(C530), '📊 COGS'!A:A, 0)</f>
        <v>#N/A</v>
      </c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>
        <v>0.0</v>
      </c>
      <c r="O531" s="7" t="str">
        <f>MATCH(TRIM(C531), '📊 COGS'!A:A, 0)</f>
        <v>#N/A</v>
      </c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>
        <v>0.0</v>
      </c>
      <c r="O532" s="7" t="str">
        <f>MATCH(TRIM(C532), '📊 COGS'!A:A, 0)</f>
        <v>#N/A</v>
      </c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>
        <v>0.0</v>
      </c>
      <c r="O533" s="7" t="str">
        <f>MATCH(TRIM(C533), '📊 COGS'!A:A, 0)</f>
        <v>#N/A</v>
      </c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>
        <v>0.0</v>
      </c>
      <c r="O534" s="7" t="str">
        <f>MATCH(TRIM(C534), '📊 COGS'!A:A, 0)</f>
        <v>#N/A</v>
      </c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>
        <v>0.0</v>
      </c>
      <c r="O535" s="7" t="str">
        <f>MATCH(TRIM(C535), '📊 COGS'!A:A, 0)</f>
        <v>#N/A</v>
      </c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>
        <v>0.0</v>
      </c>
      <c r="O536" s="7" t="str">
        <f>MATCH(TRIM(C536), '📊 COGS'!A:A, 0)</f>
        <v>#N/A</v>
      </c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>
        <v>0.0</v>
      </c>
      <c r="O537" s="7" t="str">
        <f>MATCH(TRIM(C537), '📊 COGS'!A:A, 0)</f>
        <v>#N/A</v>
      </c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>
        <v>0.0</v>
      </c>
      <c r="O538" s="7" t="str">
        <f>MATCH(TRIM(C538), '📊 COGS'!A:A, 0)</f>
        <v>#N/A</v>
      </c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>
        <v>0.0</v>
      </c>
      <c r="O539" s="7" t="str">
        <f>MATCH(TRIM(C539), '📊 COGS'!A:A, 0)</f>
        <v>#N/A</v>
      </c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>
        <v>0.0</v>
      </c>
      <c r="O540" s="7" t="str">
        <f>MATCH(TRIM(C540), '📊 COGS'!A:A, 0)</f>
        <v>#N/A</v>
      </c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>
        <v>0.0</v>
      </c>
      <c r="O541" s="7" t="str">
        <f>MATCH(TRIM(C541), '📊 COGS'!A:A, 0)</f>
        <v>#N/A</v>
      </c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>
        <v>0.0</v>
      </c>
      <c r="O542" s="7" t="str">
        <f>MATCH(TRIM(C542), '📊 COGS'!A:A, 0)</f>
        <v>#N/A</v>
      </c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>
        <v>0.0</v>
      </c>
      <c r="O543" s="7" t="str">
        <f>MATCH(TRIM(C543), '📊 COGS'!A:A, 0)</f>
        <v>#N/A</v>
      </c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>
        <v>0.0</v>
      </c>
      <c r="O544" s="7" t="str">
        <f>MATCH(TRIM(C544), '📊 COGS'!A:A, 0)</f>
        <v>#N/A</v>
      </c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>
        <v>0.0</v>
      </c>
      <c r="O545" s="7" t="str">
        <f>MATCH(TRIM(C545), '📊 COGS'!A:A, 0)</f>
        <v>#N/A</v>
      </c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>
        <v>0.0</v>
      </c>
      <c r="O546" s="7" t="str">
        <f>MATCH(TRIM(C546), '📊 COGS'!A:A, 0)</f>
        <v>#N/A</v>
      </c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>
        <v>0.0</v>
      </c>
      <c r="O547" s="7" t="str">
        <f>MATCH(TRIM(C547), '📊 COGS'!A:A, 0)</f>
        <v>#N/A</v>
      </c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>
        <v>0.0</v>
      </c>
      <c r="O548" s="7" t="str">
        <f>MATCH(TRIM(C548), '📊 COGS'!A:A, 0)</f>
        <v>#N/A</v>
      </c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>
        <v>0.0</v>
      </c>
      <c r="O549" s="7" t="str">
        <f>MATCH(TRIM(C549), '📊 COGS'!A:A, 0)</f>
        <v>#N/A</v>
      </c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>
        <v>0.0</v>
      </c>
      <c r="O550" s="7" t="str">
        <f>MATCH(TRIM(C550), '📊 COGS'!A:A, 0)</f>
        <v>#N/A</v>
      </c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>
        <v>0.0</v>
      </c>
      <c r="O551" s="7" t="str">
        <f>MATCH(TRIM(C551), '📊 COGS'!A:A, 0)</f>
        <v>#N/A</v>
      </c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>
        <v>0.0</v>
      </c>
      <c r="O552" s="7" t="str">
        <f>MATCH(TRIM(C552), '📊 COGS'!A:A, 0)</f>
        <v>#N/A</v>
      </c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>
        <v>0.0</v>
      </c>
      <c r="O553" s="7" t="str">
        <f>MATCH(TRIM(C553), '📊 COGS'!A:A, 0)</f>
        <v>#N/A</v>
      </c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>
        <v>0.0</v>
      </c>
      <c r="O554" s="7" t="str">
        <f>MATCH(TRIM(C554), '📊 COGS'!A:A, 0)</f>
        <v>#N/A</v>
      </c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>
        <v>0.0</v>
      </c>
      <c r="O555" s="7" t="str">
        <f>MATCH(TRIM(C555), '📊 COGS'!A:A, 0)</f>
        <v>#N/A</v>
      </c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>
        <v>0.0</v>
      </c>
      <c r="O556" s="7" t="str">
        <f>MATCH(TRIM(C556), '📊 COGS'!A:A, 0)</f>
        <v>#N/A</v>
      </c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>
        <v>0.0</v>
      </c>
      <c r="O557" s="7" t="str">
        <f>MATCH(TRIM(C557), '📊 COGS'!A:A, 0)</f>
        <v>#N/A</v>
      </c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>
        <v>0.0</v>
      </c>
      <c r="O558" s="7" t="str">
        <f>MATCH(TRIM(C558), '📊 COGS'!A:A, 0)</f>
        <v>#N/A</v>
      </c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>
        <v>0.0</v>
      </c>
      <c r="O559" s="7" t="str">
        <f>MATCH(TRIM(C559), '📊 COGS'!A:A, 0)</f>
        <v>#N/A</v>
      </c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>
        <v>0.0</v>
      </c>
      <c r="O560" s="7" t="str">
        <f>MATCH(TRIM(C560), '📊 COGS'!A:A, 0)</f>
        <v>#N/A</v>
      </c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>
        <v>0.0</v>
      </c>
      <c r="O561" s="7" t="str">
        <f>MATCH(TRIM(C561), '📊 COGS'!A:A, 0)</f>
        <v>#N/A</v>
      </c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>
        <v>0.0</v>
      </c>
      <c r="O562" s="7" t="str">
        <f>MATCH(TRIM(C562), '📊 COGS'!A:A, 0)</f>
        <v>#N/A</v>
      </c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>
        <v>0.0</v>
      </c>
      <c r="O563" s="7" t="str">
        <f>MATCH(TRIM(C563), '📊 COGS'!A:A, 0)</f>
        <v>#N/A</v>
      </c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>
        <v>0.0</v>
      </c>
      <c r="O564" s="7" t="str">
        <f>MATCH(TRIM(C564), '📊 COGS'!A:A, 0)</f>
        <v>#N/A</v>
      </c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>
        <v>0.0</v>
      </c>
      <c r="O565" s="7" t="str">
        <f>MATCH(TRIM(C565), '📊 COGS'!A:A, 0)</f>
        <v>#N/A</v>
      </c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>
        <v>0.0</v>
      </c>
      <c r="O566" s="7" t="str">
        <f>MATCH(TRIM(C566), '📊 COGS'!A:A, 0)</f>
        <v>#N/A</v>
      </c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>
        <v>0.0</v>
      </c>
      <c r="O567" s="7" t="str">
        <f>MATCH(TRIM(C567), '📊 COGS'!A:A, 0)</f>
        <v>#N/A</v>
      </c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>
        <v>0.0</v>
      </c>
      <c r="O568" s="7" t="str">
        <f>MATCH(TRIM(C568), '📊 COGS'!A:A, 0)</f>
        <v>#N/A</v>
      </c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>
        <v>0.0</v>
      </c>
      <c r="O569" s="7" t="str">
        <f>MATCH(TRIM(C569), '📊 COGS'!A:A, 0)</f>
        <v>#N/A</v>
      </c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>
        <v>0.0</v>
      </c>
      <c r="O570" s="7" t="str">
        <f>MATCH(TRIM(C570), '📊 COGS'!A:A, 0)</f>
        <v>#N/A</v>
      </c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>
        <v>0.0</v>
      </c>
      <c r="O571" s="7" t="str">
        <f>MATCH(TRIM(C571), '📊 COGS'!A:A, 0)</f>
        <v>#N/A</v>
      </c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>
        <v>0.0</v>
      </c>
      <c r="O572" s="7" t="str">
        <f>MATCH(TRIM(C572), '📊 COGS'!A:A, 0)</f>
        <v>#N/A</v>
      </c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>
        <v>0.0</v>
      </c>
      <c r="O573" s="7" t="str">
        <f>MATCH(TRIM(C573), '📊 COGS'!A:A, 0)</f>
        <v>#N/A</v>
      </c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>
        <v>0.0</v>
      </c>
      <c r="O574" s="7" t="str">
        <f>MATCH(TRIM(C574), '📊 COGS'!A:A, 0)</f>
        <v>#N/A</v>
      </c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>
        <v>0.0</v>
      </c>
      <c r="O575" s="7" t="str">
        <f>MATCH(TRIM(C575), '📊 COGS'!A:A, 0)</f>
        <v>#N/A</v>
      </c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>
        <v>0.0</v>
      </c>
      <c r="O576" s="7" t="str">
        <f>MATCH(TRIM(C576), '📊 COGS'!A:A, 0)</f>
        <v>#N/A</v>
      </c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>
        <v>0.0</v>
      </c>
      <c r="O577" s="7" t="str">
        <f>MATCH(TRIM(C577), '📊 COGS'!A:A, 0)</f>
        <v>#N/A</v>
      </c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>
        <v>0.0</v>
      </c>
      <c r="O578" s="7" t="str">
        <f>MATCH(TRIM(C578), '📊 COGS'!A:A, 0)</f>
        <v>#N/A</v>
      </c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>
        <v>0.0</v>
      </c>
      <c r="O579" s="7" t="str">
        <f>MATCH(TRIM(C579), '📊 COGS'!A:A, 0)</f>
        <v>#N/A</v>
      </c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>
        <v>0.0</v>
      </c>
      <c r="O580" s="7" t="str">
        <f>MATCH(TRIM(C580), '📊 COGS'!A:A, 0)</f>
        <v>#N/A</v>
      </c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>
        <v>0.0</v>
      </c>
      <c r="O581" s="7" t="str">
        <f>MATCH(TRIM(C581), '📊 COGS'!A:A, 0)</f>
        <v>#N/A</v>
      </c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>
        <v>0.0</v>
      </c>
      <c r="O582" s="7" t="str">
        <f>MATCH(TRIM(C582), '📊 COGS'!A:A, 0)</f>
        <v>#N/A</v>
      </c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>
        <v>0.0</v>
      </c>
      <c r="O583" s="7" t="str">
        <f>MATCH(TRIM(C583), '📊 COGS'!A:A, 0)</f>
        <v>#N/A</v>
      </c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>
        <v>0.0</v>
      </c>
      <c r="O584" s="7" t="str">
        <f>MATCH(TRIM(C584), '📊 COGS'!A:A, 0)</f>
        <v>#N/A</v>
      </c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>
        <v>0.0</v>
      </c>
      <c r="O585" s="7" t="str">
        <f>MATCH(TRIM(C585), '📊 COGS'!A:A, 0)</f>
        <v>#N/A</v>
      </c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>
        <v>0.0</v>
      </c>
      <c r="O586" s="7" t="str">
        <f>MATCH(TRIM(C586), '📊 COGS'!A:A, 0)</f>
        <v>#N/A</v>
      </c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>
        <v>0.0</v>
      </c>
      <c r="O587" s="7" t="str">
        <f>MATCH(TRIM(C587), '📊 COGS'!A:A, 0)</f>
        <v>#N/A</v>
      </c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>
        <v>0.0</v>
      </c>
      <c r="O588" s="7" t="str">
        <f>MATCH(TRIM(C588), '📊 COGS'!A:A, 0)</f>
        <v>#N/A</v>
      </c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>
        <v>0.0</v>
      </c>
      <c r="O589" s="7" t="str">
        <f>MATCH(TRIM(C589), '📊 COGS'!A:A, 0)</f>
        <v>#N/A</v>
      </c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>
        <v>0.0</v>
      </c>
      <c r="O590" s="7" t="str">
        <f>MATCH(TRIM(C590), '📊 COGS'!A:A, 0)</f>
        <v>#N/A</v>
      </c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>
        <v>0.0</v>
      </c>
      <c r="O591" s="7" t="str">
        <f>MATCH(TRIM(C591), '📊 COGS'!A:A, 0)</f>
        <v>#N/A</v>
      </c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>
        <v>0.0</v>
      </c>
      <c r="O592" s="7" t="str">
        <f>MATCH(TRIM(C592), '📊 COGS'!A:A, 0)</f>
        <v>#N/A</v>
      </c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>
        <v>0.0</v>
      </c>
      <c r="O593" s="7" t="str">
        <f>MATCH(TRIM(C593), '📊 COGS'!A:A, 0)</f>
        <v>#N/A</v>
      </c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>
        <v>0.0</v>
      </c>
      <c r="O594" s="7" t="str">
        <f>MATCH(TRIM(C594), '📊 COGS'!A:A, 0)</f>
        <v>#N/A</v>
      </c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>
        <v>0.0</v>
      </c>
      <c r="O595" s="7" t="str">
        <f>MATCH(TRIM(C595), '📊 COGS'!A:A, 0)</f>
        <v>#N/A</v>
      </c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>
        <v>0.0</v>
      </c>
      <c r="O596" s="7" t="str">
        <f>MATCH(TRIM(C596), '📊 COGS'!A:A, 0)</f>
        <v>#N/A</v>
      </c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>
        <v>0.0</v>
      </c>
      <c r="O597" s="7" t="str">
        <f>MATCH(TRIM(C597), '📊 COGS'!A:A, 0)</f>
        <v>#N/A</v>
      </c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>
        <v>0.0</v>
      </c>
      <c r="O598" s="7" t="str">
        <f>MATCH(TRIM(C598), '📊 COGS'!A:A, 0)</f>
        <v>#N/A</v>
      </c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>
        <v>0.0</v>
      </c>
      <c r="O599" s="7" t="str">
        <f>MATCH(TRIM(C599), '📊 COGS'!A:A, 0)</f>
        <v>#N/A</v>
      </c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>
        <v>0.0</v>
      </c>
      <c r="O600" s="7" t="str">
        <f>MATCH(TRIM(C600), '📊 COGS'!A:A, 0)</f>
        <v>#N/A</v>
      </c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>
        <v>0.0</v>
      </c>
      <c r="O601" s="7" t="str">
        <f>MATCH(TRIM(C601), '📊 COGS'!A:A, 0)</f>
        <v>#N/A</v>
      </c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>
        <v>0.0</v>
      </c>
      <c r="O602" s="7" t="str">
        <f>MATCH(TRIM(C602), '📊 COGS'!A:A, 0)</f>
        <v>#N/A</v>
      </c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>
        <v>0.0</v>
      </c>
      <c r="O603" s="7" t="str">
        <f>MATCH(TRIM(C603), '📊 COGS'!A:A, 0)</f>
        <v>#N/A</v>
      </c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>
        <v>0.0</v>
      </c>
      <c r="O604" s="7" t="str">
        <f>MATCH(TRIM(C604), '📊 COGS'!A:A, 0)</f>
        <v>#N/A</v>
      </c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>
        <v>0.0</v>
      </c>
      <c r="O605" s="7" t="str">
        <f>MATCH(TRIM(C605), '📊 COGS'!A:A, 0)</f>
        <v>#N/A</v>
      </c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>
        <v>0.0</v>
      </c>
      <c r="O606" s="7" t="str">
        <f>MATCH(TRIM(C606), '📊 COGS'!A:A, 0)</f>
        <v>#N/A</v>
      </c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>
        <v>0.0</v>
      </c>
      <c r="O607" s="7" t="str">
        <f>MATCH(TRIM(C607), '📊 COGS'!A:A, 0)</f>
        <v>#N/A</v>
      </c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>
        <v>0.0</v>
      </c>
      <c r="O608" s="7" t="str">
        <f>MATCH(TRIM(C608), '📊 COGS'!A:A, 0)</f>
        <v>#N/A</v>
      </c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>
        <v>0.0</v>
      </c>
      <c r="O609" s="7" t="str">
        <f>MATCH(TRIM(C609), '📊 COGS'!A:A, 0)</f>
        <v>#N/A</v>
      </c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>
        <v>0.0</v>
      </c>
      <c r="O610" s="7" t="str">
        <f>MATCH(TRIM(C610), '📊 COGS'!A:A, 0)</f>
        <v>#N/A</v>
      </c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>
        <v>0.0</v>
      </c>
      <c r="O611" s="7" t="str">
        <f>MATCH(TRIM(C611), '📊 COGS'!A:A, 0)</f>
        <v>#N/A</v>
      </c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>
        <v>0.0</v>
      </c>
      <c r="O612" s="7" t="str">
        <f>MATCH(TRIM(C612), '📊 COGS'!A:A, 0)</f>
        <v>#N/A</v>
      </c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>
        <v>0.0</v>
      </c>
      <c r="O613" s="7" t="str">
        <f>MATCH(TRIM(C613), '📊 COGS'!A:A, 0)</f>
        <v>#N/A</v>
      </c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>
        <v>0.0</v>
      </c>
      <c r="O614" s="7" t="str">
        <f>MATCH(TRIM(C614), '📊 COGS'!A:A, 0)</f>
        <v>#N/A</v>
      </c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>
        <v>0.0</v>
      </c>
      <c r="O615" s="7" t="str">
        <f>MATCH(TRIM(C615), '📊 COGS'!A:A, 0)</f>
        <v>#N/A</v>
      </c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>
        <v>0.0</v>
      </c>
      <c r="O616" s="7" t="str">
        <f>MATCH(TRIM(C616), '📊 COGS'!A:A, 0)</f>
        <v>#N/A</v>
      </c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>
        <v>0.0</v>
      </c>
      <c r="O617" s="7" t="str">
        <f>MATCH(TRIM(C617), '📊 COGS'!A:A, 0)</f>
        <v>#N/A</v>
      </c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>
        <v>0.0</v>
      </c>
      <c r="O618" s="7" t="str">
        <f>MATCH(TRIM(C618), '📊 COGS'!A:A, 0)</f>
        <v>#N/A</v>
      </c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>
        <v>0.0</v>
      </c>
      <c r="O619" s="7" t="str">
        <f>MATCH(TRIM(C619), '📊 COGS'!A:A, 0)</f>
        <v>#N/A</v>
      </c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>
        <v>0.0</v>
      </c>
      <c r="O620" s="7" t="str">
        <f>MATCH(TRIM(C620), '📊 COGS'!A:A, 0)</f>
        <v>#N/A</v>
      </c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>
        <v>0.0</v>
      </c>
      <c r="O621" s="7" t="str">
        <f>MATCH(TRIM(C621), '📊 COGS'!A:A, 0)</f>
        <v>#N/A</v>
      </c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>
        <v>0.0</v>
      </c>
      <c r="O622" s="7" t="str">
        <f>MATCH(TRIM(C622), '📊 COGS'!A:A, 0)</f>
        <v>#N/A</v>
      </c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>
        <v>0.0</v>
      </c>
      <c r="O623" s="7" t="str">
        <f>MATCH(TRIM(C623), '📊 COGS'!A:A, 0)</f>
        <v>#N/A</v>
      </c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>
        <v>0.0</v>
      </c>
      <c r="O624" s="7" t="str">
        <f>MATCH(TRIM(C624), '📊 COGS'!A:A, 0)</f>
        <v>#N/A</v>
      </c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>
        <v>0.0</v>
      </c>
      <c r="O625" s="7" t="str">
        <f>MATCH(TRIM(C625), '📊 COGS'!A:A, 0)</f>
        <v>#N/A</v>
      </c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>
        <v>0.0</v>
      </c>
      <c r="O626" s="7" t="str">
        <f>MATCH(TRIM(C626), '📊 COGS'!A:A, 0)</f>
        <v>#N/A</v>
      </c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>
        <v>0.0</v>
      </c>
      <c r="O627" s="7" t="str">
        <f>MATCH(TRIM(C627), '📊 COGS'!A:A, 0)</f>
        <v>#N/A</v>
      </c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>
        <v>0.0</v>
      </c>
      <c r="O628" s="7" t="str">
        <f>MATCH(TRIM(C628), '📊 COGS'!A:A, 0)</f>
        <v>#N/A</v>
      </c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>
        <v>0.0</v>
      </c>
      <c r="O629" s="7" t="str">
        <f>MATCH(TRIM(C629), '📊 COGS'!A:A, 0)</f>
        <v>#N/A</v>
      </c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>
        <v>0.0</v>
      </c>
      <c r="O630" s="7" t="str">
        <f>MATCH(TRIM(C630), '📊 COGS'!A:A, 0)</f>
        <v>#N/A</v>
      </c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>
        <v>0.0</v>
      </c>
      <c r="O631" s="7" t="str">
        <f>MATCH(TRIM(C631), '📊 COGS'!A:A, 0)</f>
        <v>#N/A</v>
      </c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>
        <v>0.0</v>
      </c>
      <c r="O632" s="7" t="str">
        <f>MATCH(TRIM(C632), '📊 COGS'!A:A, 0)</f>
        <v>#N/A</v>
      </c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>
        <v>0.0</v>
      </c>
      <c r="O633" s="7" t="str">
        <f>MATCH(TRIM(C633), '📊 COGS'!A:A, 0)</f>
        <v>#N/A</v>
      </c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>
        <v>0.0</v>
      </c>
      <c r="O634" s="7" t="str">
        <f>MATCH(TRIM(C634), '📊 COGS'!A:A, 0)</f>
        <v>#N/A</v>
      </c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>
        <v>0.0</v>
      </c>
      <c r="O635" s="7" t="str">
        <f>MATCH(TRIM(C635), '📊 COGS'!A:A, 0)</f>
        <v>#N/A</v>
      </c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>
        <v>0.0</v>
      </c>
      <c r="O636" s="7" t="str">
        <f>MATCH(TRIM(C636), '📊 COGS'!A:A, 0)</f>
        <v>#N/A</v>
      </c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>
        <v>0.0</v>
      </c>
      <c r="O637" s="7" t="str">
        <f>MATCH(TRIM(C637), '📊 COGS'!A:A, 0)</f>
        <v>#N/A</v>
      </c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>
        <v>0.0</v>
      </c>
      <c r="O638" s="7" t="str">
        <f>MATCH(TRIM(C638), '📊 COGS'!A:A, 0)</f>
        <v>#N/A</v>
      </c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>
        <v>0.0</v>
      </c>
      <c r="O639" s="7" t="str">
        <f>MATCH(TRIM(C639), '📊 COGS'!A:A, 0)</f>
        <v>#N/A</v>
      </c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>
        <v>0.0</v>
      </c>
      <c r="O640" s="7" t="str">
        <f>MATCH(TRIM(C640), '📊 COGS'!A:A, 0)</f>
        <v>#N/A</v>
      </c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>
        <v>0.0</v>
      </c>
      <c r="O641" s="7" t="str">
        <f>MATCH(TRIM(C641), '📊 COGS'!A:A, 0)</f>
        <v>#N/A</v>
      </c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>
        <v>0.0</v>
      </c>
      <c r="O642" s="7" t="str">
        <f>MATCH(TRIM(C642), '📊 COGS'!A:A, 0)</f>
        <v>#N/A</v>
      </c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>
        <v>0.0</v>
      </c>
      <c r="O643" s="7" t="str">
        <f>MATCH(TRIM(C643), '📊 COGS'!A:A, 0)</f>
        <v>#N/A</v>
      </c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>
        <v>0.0</v>
      </c>
      <c r="O644" s="7" t="str">
        <f>MATCH(TRIM(C644), '📊 COGS'!A:A, 0)</f>
        <v>#N/A</v>
      </c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>
        <v>0.0</v>
      </c>
      <c r="O645" s="7" t="str">
        <f>MATCH(TRIM(C645), '📊 COGS'!A:A, 0)</f>
        <v>#N/A</v>
      </c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>
        <v>0.0</v>
      </c>
      <c r="O646" s="7" t="str">
        <f>MATCH(TRIM(C646), '📊 COGS'!A:A, 0)</f>
        <v>#N/A</v>
      </c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>
        <v>0.0</v>
      </c>
      <c r="O647" s="7" t="str">
        <f>MATCH(TRIM(C647), '📊 COGS'!A:A, 0)</f>
        <v>#N/A</v>
      </c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>
        <v>0.0</v>
      </c>
      <c r="O648" s="7" t="str">
        <f>MATCH(TRIM(C648), '📊 COGS'!A:A, 0)</f>
        <v>#N/A</v>
      </c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>
        <v>0.0</v>
      </c>
      <c r="O649" s="7" t="str">
        <f>MATCH(TRIM(C649), '📊 COGS'!A:A, 0)</f>
        <v>#N/A</v>
      </c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>
        <v>0.0</v>
      </c>
      <c r="O650" s="7" t="str">
        <f>MATCH(TRIM(C650), '📊 COGS'!A:A, 0)</f>
        <v>#N/A</v>
      </c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>
        <v>0.0</v>
      </c>
      <c r="O651" s="7" t="str">
        <f>MATCH(TRIM(C651), '📊 COGS'!A:A, 0)</f>
        <v>#N/A</v>
      </c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>
        <v>0.0</v>
      </c>
      <c r="O652" s="7" t="str">
        <f>MATCH(TRIM(C652), '📊 COGS'!A:A, 0)</f>
        <v>#N/A</v>
      </c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>
        <v>0.0</v>
      </c>
      <c r="O653" s="7" t="str">
        <f>MATCH(TRIM(C653), '📊 COGS'!A:A, 0)</f>
        <v>#N/A</v>
      </c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>
        <v>0.0</v>
      </c>
      <c r="O654" s="7" t="str">
        <f>MATCH(TRIM(C654), '📊 COGS'!A:A, 0)</f>
        <v>#N/A</v>
      </c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>
        <v>0.0</v>
      </c>
      <c r="O655" s="7" t="str">
        <f>MATCH(TRIM(C655), '📊 COGS'!A:A, 0)</f>
        <v>#N/A</v>
      </c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>
        <v>0.0</v>
      </c>
      <c r="O656" s="7" t="str">
        <f>MATCH(TRIM(C656), '📊 COGS'!A:A, 0)</f>
        <v>#N/A</v>
      </c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>
        <v>0.0</v>
      </c>
      <c r="O657" s="7" t="str">
        <f>MATCH(TRIM(C657), '📊 COGS'!A:A, 0)</f>
        <v>#N/A</v>
      </c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>
        <v>0.0</v>
      </c>
      <c r="O658" s="7" t="str">
        <f>MATCH(TRIM(C658), '📊 COGS'!A:A, 0)</f>
        <v>#N/A</v>
      </c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>
        <v>0.0</v>
      </c>
      <c r="O659" s="7" t="str">
        <f>MATCH(TRIM(C659), '📊 COGS'!A:A, 0)</f>
        <v>#N/A</v>
      </c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>
        <v>0.0</v>
      </c>
      <c r="O660" s="7" t="str">
        <f>MATCH(TRIM(C660), '📊 COGS'!A:A, 0)</f>
        <v>#N/A</v>
      </c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>
        <v>0.0</v>
      </c>
      <c r="O661" s="7" t="str">
        <f>MATCH(TRIM(C661), '📊 COGS'!A:A, 0)</f>
        <v>#N/A</v>
      </c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>
        <v>0.0</v>
      </c>
      <c r="O662" s="7" t="str">
        <f>MATCH(TRIM(C662), '📊 COGS'!A:A, 0)</f>
        <v>#N/A</v>
      </c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>
        <v>0.0</v>
      </c>
      <c r="O663" s="7" t="str">
        <f>MATCH(TRIM(C663), '📊 COGS'!A:A, 0)</f>
        <v>#N/A</v>
      </c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>
        <v>0.0</v>
      </c>
      <c r="O664" s="7" t="str">
        <f>MATCH(TRIM(C664), '📊 COGS'!A:A, 0)</f>
        <v>#N/A</v>
      </c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>
        <v>0.0</v>
      </c>
      <c r="O665" s="7" t="str">
        <f>MATCH(TRIM(C665), '📊 COGS'!A:A, 0)</f>
        <v>#N/A</v>
      </c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>
        <v>0.0</v>
      </c>
      <c r="O666" s="7" t="str">
        <f>MATCH(TRIM(C666), '📊 COGS'!A:A, 0)</f>
        <v>#N/A</v>
      </c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>
        <v>0.0</v>
      </c>
      <c r="O667" s="7" t="str">
        <f>MATCH(TRIM(C667), '📊 COGS'!A:A, 0)</f>
        <v>#N/A</v>
      </c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>
        <v>0.0</v>
      </c>
      <c r="O668" s="7" t="str">
        <f>MATCH(TRIM(C668), '📊 COGS'!A:A, 0)</f>
        <v>#N/A</v>
      </c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>
        <v>0.0</v>
      </c>
      <c r="O669" s="7" t="str">
        <f>MATCH(TRIM(C669), '📊 COGS'!A:A, 0)</f>
        <v>#N/A</v>
      </c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>
        <v>0.0</v>
      </c>
      <c r="O670" s="7" t="str">
        <f>MATCH(TRIM(C670), '📊 COGS'!A:A, 0)</f>
        <v>#N/A</v>
      </c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>
        <v>0.0</v>
      </c>
      <c r="O671" s="7" t="str">
        <f>MATCH(TRIM(C671), '📊 COGS'!A:A, 0)</f>
        <v>#N/A</v>
      </c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>
        <v>0.0</v>
      </c>
      <c r="O672" s="7" t="str">
        <f>MATCH(TRIM(C672), '📊 COGS'!A:A, 0)</f>
        <v>#N/A</v>
      </c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>
        <v>0.0</v>
      </c>
      <c r="O673" s="7" t="str">
        <f>MATCH(TRIM(C673), '📊 COGS'!A:A, 0)</f>
        <v>#N/A</v>
      </c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>
        <v>0.0</v>
      </c>
      <c r="O674" s="7" t="str">
        <f>MATCH(TRIM(C674), '📊 COGS'!A:A, 0)</f>
        <v>#N/A</v>
      </c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>
        <v>0.0</v>
      </c>
      <c r="O675" s="7" t="str">
        <f>MATCH(TRIM(C675), '📊 COGS'!A:A, 0)</f>
        <v>#N/A</v>
      </c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>
        <v>0.0</v>
      </c>
      <c r="O676" s="7" t="str">
        <f>MATCH(TRIM(C676), '📊 COGS'!A:A, 0)</f>
        <v>#N/A</v>
      </c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>
        <v>0.0</v>
      </c>
      <c r="O677" s="7" t="str">
        <f>MATCH(TRIM(C677), '📊 COGS'!A:A, 0)</f>
        <v>#N/A</v>
      </c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>
        <v>0.0</v>
      </c>
      <c r="O678" s="7" t="str">
        <f>MATCH(TRIM(C678), '📊 COGS'!A:A, 0)</f>
        <v>#N/A</v>
      </c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>
        <v>0.0</v>
      </c>
      <c r="O679" s="7" t="str">
        <f>MATCH(TRIM(C679), '📊 COGS'!A:A, 0)</f>
        <v>#N/A</v>
      </c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>
        <v>0.0</v>
      </c>
      <c r="O680" s="7" t="str">
        <f>MATCH(TRIM(C680), '📊 COGS'!A:A, 0)</f>
        <v>#N/A</v>
      </c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>
        <v>0.0</v>
      </c>
      <c r="O681" s="7" t="str">
        <f>MATCH(TRIM(C681), '📊 COGS'!A:A, 0)</f>
        <v>#N/A</v>
      </c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>
        <v>0.0</v>
      </c>
      <c r="O682" s="7" t="str">
        <f>MATCH(TRIM(C682), '📊 COGS'!A:A, 0)</f>
        <v>#N/A</v>
      </c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>
        <v>0.0</v>
      </c>
      <c r="O683" s="7" t="str">
        <f>MATCH(TRIM(C683), '📊 COGS'!A:A, 0)</f>
        <v>#N/A</v>
      </c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>
        <v>0.0</v>
      </c>
      <c r="O684" s="7" t="str">
        <f>MATCH(TRIM(C684), '📊 COGS'!A:A, 0)</f>
        <v>#N/A</v>
      </c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>
        <v>0.0</v>
      </c>
      <c r="O685" s="7" t="str">
        <f>MATCH(TRIM(C685), '📊 COGS'!A:A, 0)</f>
        <v>#N/A</v>
      </c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>
        <v>0.0</v>
      </c>
      <c r="O686" s="7" t="str">
        <f>MATCH(TRIM(C686), '📊 COGS'!A:A, 0)</f>
        <v>#N/A</v>
      </c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>
        <v>0.0</v>
      </c>
      <c r="O687" s="7" t="str">
        <f>MATCH(TRIM(C687), '📊 COGS'!A:A, 0)</f>
        <v>#N/A</v>
      </c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>
        <v>0.0</v>
      </c>
      <c r="O688" s="7" t="str">
        <f>MATCH(TRIM(C688), '📊 COGS'!A:A, 0)</f>
        <v>#N/A</v>
      </c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>
        <v>0.0</v>
      </c>
      <c r="O689" s="7" t="str">
        <f>MATCH(TRIM(C689), '📊 COGS'!A:A, 0)</f>
        <v>#N/A</v>
      </c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>
        <v>0.0</v>
      </c>
      <c r="O690" s="7" t="str">
        <f>MATCH(TRIM(C690), '📊 COGS'!A:A, 0)</f>
        <v>#N/A</v>
      </c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>
        <v>0.0</v>
      </c>
      <c r="O691" s="7" t="str">
        <f>MATCH(TRIM(C691), '📊 COGS'!A:A, 0)</f>
        <v>#N/A</v>
      </c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>
        <v>0.0</v>
      </c>
      <c r="O692" s="7" t="str">
        <f>MATCH(TRIM(C692), '📊 COGS'!A:A, 0)</f>
        <v>#N/A</v>
      </c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>
        <v>0.0</v>
      </c>
      <c r="O693" s="7" t="str">
        <f>MATCH(TRIM(C693), '📊 COGS'!A:A, 0)</f>
        <v>#N/A</v>
      </c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>
        <v>0.0</v>
      </c>
      <c r="O694" s="7" t="str">
        <f>MATCH(TRIM(C694), '📊 COGS'!A:A, 0)</f>
        <v>#N/A</v>
      </c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>
        <v>0.0</v>
      </c>
      <c r="O695" s="7" t="str">
        <f>MATCH(TRIM(C695), '📊 COGS'!A:A, 0)</f>
        <v>#N/A</v>
      </c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>
        <v>0.0</v>
      </c>
      <c r="O696" s="7" t="str">
        <f>MATCH(TRIM(C696), '📊 COGS'!A:A, 0)</f>
        <v>#N/A</v>
      </c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>
        <v>0.0</v>
      </c>
      <c r="O697" s="7" t="str">
        <f>MATCH(TRIM(C697), '📊 COGS'!A:A, 0)</f>
        <v>#N/A</v>
      </c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>
        <v>0.0</v>
      </c>
      <c r="O698" s="7" t="str">
        <f>MATCH(TRIM(C698), '📊 COGS'!A:A, 0)</f>
        <v>#N/A</v>
      </c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>
        <v>0.0</v>
      </c>
      <c r="O699" s="7" t="str">
        <f>MATCH(TRIM(C699), '📊 COGS'!A:A, 0)</f>
        <v>#N/A</v>
      </c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>
        <v>0.0</v>
      </c>
      <c r="O700" s="7" t="str">
        <f>MATCH(TRIM(C700), '📊 COGS'!A:A, 0)</f>
        <v>#N/A</v>
      </c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>
        <v>0.0</v>
      </c>
      <c r="O701" s="7" t="str">
        <f>MATCH(TRIM(C701), '📊 COGS'!A:A, 0)</f>
        <v>#N/A</v>
      </c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>
        <v>0.0</v>
      </c>
      <c r="O702" s="7" t="str">
        <f>MATCH(TRIM(C702), '📊 COGS'!A:A, 0)</f>
        <v>#N/A</v>
      </c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>
        <v>0.0</v>
      </c>
      <c r="O703" s="7" t="str">
        <f>MATCH(TRIM(C703), '📊 COGS'!A:A, 0)</f>
        <v>#N/A</v>
      </c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>
        <v>0.0</v>
      </c>
      <c r="O704" s="7" t="str">
        <f>MATCH(TRIM(C704), '📊 COGS'!A:A, 0)</f>
        <v>#N/A</v>
      </c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>
        <v>0.0</v>
      </c>
      <c r="O705" s="7" t="str">
        <f>MATCH(TRIM(C705), '📊 COGS'!A:A, 0)</f>
        <v>#N/A</v>
      </c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>
        <v>0.0</v>
      </c>
      <c r="O706" s="7" t="str">
        <f>MATCH(TRIM(C706), '📊 COGS'!A:A, 0)</f>
        <v>#N/A</v>
      </c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>
        <v>0.0</v>
      </c>
      <c r="O707" s="7" t="str">
        <f>MATCH(TRIM(C707), '📊 COGS'!A:A, 0)</f>
        <v>#N/A</v>
      </c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>
        <v>0.0</v>
      </c>
      <c r="O708" s="7" t="str">
        <f>MATCH(TRIM(C708), '📊 COGS'!A:A, 0)</f>
        <v>#N/A</v>
      </c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>
        <v>0.0</v>
      </c>
      <c r="O709" s="7" t="str">
        <f>MATCH(TRIM(C709), '📊 COGS'!A:A, 0)</f>
        <v>#N/A</v>
      </c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>
        <v>0.0</v>
      </c>
      <c r="O710" s="7" t="str">
        <f>MATCH(TRIM(C710), '📊 COGS'!A:A, 0)</f>
        <v>#N/A</v>
      </c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>
        <v>0.0</v>
      </c>
      <c r="O711" s="7" t="str">
        <f>MATCH(TRIM(C711), '📊 COGS'!A:A, 0)</f>
        <v>#N/A</v>
      </c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>
        <v>0.0</v>
      </c>
      <c r="O712" s="7" t="str">
        <f>MATCH(TRIM(C712), '📊 COGS'!A:A, 0)</f>
        <v>#N/A</v>
      </c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>
        <v>0.0</v>
      </c>
      <c r="O713" s="7" t="str">
        <f>MATCH(TRIM(C713), '📊 COGS'!A:A, 0)</f>
        <v>#N/A</v>
      </c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>
        <v>0.0</v>
      </c>
      <c r="O714" s="7" t="str">
        <f>MATCH(TRIM(C714), '📊 COGS'!A:A, 0)</f>
        <v>#N/A</v>
      </c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>
        <v>0.0</v>
      </c>
      <c r="O715" s="7" t="str">
        <f>MATCH(TRIM(C715), '📊 COGS'!A:A, 0)</f>
        <v>#N/A</v>
      </c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>
        <v>0.0</v>
      </c>
      <c r="O716" s="7" t="str">
        <f>MATCH(TRIM(C716), '📊 COGS'!A:A, 0)</f>
        <v>#N/A</v>
      </c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>
        <v>0.0</v>
      </c>
      <c r="O717" s="7" t="str">
        <f>MATCH(TRIM(C717), '📊 COGS'!A:A, 0)</f>
        <v>#N/A</v>
      </c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>
        <v>0.0</v>
      </c>
      <c r="O718" s="7" t="str">
        <f>MATCH(TRIM(C718), '📊 COGS'!A:A, 0)</f>
        <v>#N/A</v>
      </c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>
        <v>0.0</v>
      </c>
      <c r="O719" s="7" t="str">
        <f>MATCH(TRIM(C719), '📊 COGS'!A:A, 0)</f>
        <v>#N/A</v>
      </c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>
        <v>0.0</v>
      </c>
      <c r="O720" s="7" t="str">
        <f>MATCH(TRIM(C720), '📊 COGS'!A:A, 0)</f>
        <v>#N/A</v>
      </c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>
        <v>0.0</v>
      </c>
      <c r="O721" s="7" t="str">
        <f>MATCH(TRIM(C721), '📊 COGS'!A:A, 0)</f>
        <v>#N/A</v>
      </c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>
        <v>0.0</v>
      </c>
      <c r="O722" s="7" t="str">
        <f>MATCH(TRIM(C722), '📊 COGS'!A:A, 0)</f>
        <v>#N/A</v>
      </c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>
        <v>0.0</v>
      </c>
      <c r="O723" s="7" t="str">
        <f>MATCH(TRIM(C723), '📊 COGS'!A:A, 0)</f>
        <v>#N/A</v>
      </c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>
        <v>0.0</v>
      </c>
      <c r="O724" s="7" t="str">
        <f>MATCH(TRIM(C724), '📊 COGS'!A:A, 0)</f>
        <v>#N/A</v>
      </c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>
        <v>0.0</v>
      </c>
      <c r="O725" s="7" t="str">
        <f>MATCH(TRIM(C725), '📊 COGS'!A:A, 0)</f>
        <v>#N/A</v>
      </c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>
        <v>0.0</v>
      </c>
      <c r="O726" s="7" t="str">
        <f>MATCH(TRIM(C726), '📊 COGS'!A:A, 0)</f>
        <v>#N/A</v>
      </c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>
        <v>0.0</v>
      </c>
      <c r="O727" s="7" t="str">
        <f>MATCH(TRIM(C727), '📊 COGS'!A:A, 0)</f>
        <v>#N/A</v>
      </c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>
        <v>0.0</v>
      </c>
      <c r="O728" s="7" t="str">
        <f>MATCH(TRIM(C728), '📊 COGS'!A:A, 0)</f>
        <v>#N/A</v>
      </c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>
        <v>0.0</v>
      </c>
      <c r="O729" s="7" t="str">
        <f>MATCH(TRIM(C729), '📊 COGS'!A:A, 0)</f>
        <v>#N/A</v>
      </c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>
        <v>0.0</v>
      </c>
      <c r="O730" s="7" t="str">
        <f>MATCH(TRIM(C730), '📊 COGS'!A:A, 0)</f>
        <v>#N/A</v>
      </c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>
        <v>0.0</v>
      </c>
      <c r="O731" s="7" t="str">
        <f>MATCH(TRIM(C731), '📊 COGS'!A:A, 0)</f>
        <v>#N/A</v>
      </c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>
        <v>0.0</v>
      </c>
      <c r="O732" s="7" t="str">
        <f>MATCH(TRIM(C732), '📊 COGS'!A:A, 0)</f>
        <v>#N/A</v>
      </c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>
        <v>0.0</v>
      </c>
      <c r="O733" s="7" t="str">
        <f>MATCH(TRIM(C733), '📊 COGS'!A:A, 0)</f>
        <v>#N/A</v>
      </c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>
        <v>0.0</v>
      </c>
      <c r="O734" s="7" t="str">
        <f>MATCH(TRIM(C734), '📊 COGS'!A:A, 0)</f>
        <v>#N/A</v>
      </c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>
        <v>0.0</v>
      </c>
      <c r="O735" s="7" t="str">
        <f>MATCH(TRIM(C735), '📊 COGS'!A:A, 0)</f>
        <v>#N/A</v>
      </c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>
        <v>0.0</v>
      </c>
      <c r="O736" s="7" t="str">
        <f>MATCH(TRIM(C736), '📊 COGS'!A:A, 0)</f>
        <v>#N/A</v>
      </c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>
        <v>0.0</v>
      </c>
      <c r="O737" s="7" t="str">
        <f>MATCH(TRIM(C737), '📊 COGS'!A:A, 0)</f>
        <v>#N/A</v>
      </c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>
        <v>0.0</v>
      </c>
      <c r="O738" s="7" t="str">
        <f>MATCH(TRIM(C738), '📊 COGS'!A:A, 0)</f>
        <v>#N/A</v>
      </c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>
        <v>0.0</v>
      </c>
      <c r="O739" s="7" t="str">
        <f>MATCH(TRIM(C739), '📊 COGS'!A:A, 0)</f>
        <v>#N/A</v>
      </c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>
        <v>0.0</v>
      </c>
      <c r="O740" s="7" t="str">
        <f>MATCH(TRIM(C740), '📊 COGS'!A:A, 0)</f>
        <v>#N/A</v>
      </c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>
        <v>0.0</v>
      </c>
      <c r="O741" s="7" t="str">
        <f>MATCH(TRIM(C741), '📊 COGS'!A:A, 0)</f>
        <v>#N/A</v>
      </c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>
        <v>0.0</v>
      </c>
      <c r="O742" s="7" t="str">
        <f>MATCH(TRIM(C742), '📊 COGS'!A:A, 0)</f>
        <v>#N/A</v>
      </c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>
        <v>0.0</v>
      </c>
      <c r="O743" s="7" t="str">
        <f>MATCH(TRIM(C743), '📊 COGS'!A:A, 0)</f>
        <v>#N/A</v>
      </c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>
        <v>0.0</v>
      </c>
      <c r="O744" s="7" t="str">
        <f>MATCH(TRIM(C744), '📊 COGS'!A:A, 0)</f>
        <v>#N/A</v>
      </c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>
        <v>0.0</v>
      </c>
      <c r="O745" s="7" t="str">
        <f>MATCH(TRIM(C745), '📊 COGS'!A:A, 0)</f>
        <v>#N/A</v>
      </c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>
        <v>0.0</v>
      </c>
      <c r="O746" s="7" t="str">
        <f>MATCH(TRIM(C746), '📊 COGS'!A:A, 0)</f>
        <v>#N/A</v>
      </c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>
        <v>0.0</v>
      </c>
      <c r="O747" s="7" t="str">
        <f>MATCH(TRIM(C747), '📊 COGS'!A:A, 0)</f>
        <v>#N/A</v>
      </c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>
        <v>0.0</v>
      </c>
      <c r="O748" s="7" t="str">
        <f>MATCH(TRIM(C748), '📊 COGS'!A:A, 0)</f>
        <v>#N/A</v>
      </c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>
        <v>0.0</v>
      </c>
      <c r="O749" s="7" t="str">
        <f>MATCH(TRIM(C749), '📊 COGS'!A:A, 0)</f>
        <v>#N/A</v>
      </c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>
        <v>0.0</v>
      </c>
      <c r="O750" s="7" t="str">
        <f>MATCH(TRIM(C750), '📊 COGS'!A:A, 0)</f>
        <v>#N/A</v>
      </c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>
        <v>0.0</v>
      </c>
      <c r="O751" s="7" t="str">
        <f>MATCH(TRIM(C751), '📊 COGS'!A:A, 0)</f>
        <v>#N/A</v>
      </c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>
        <v>0.0</v>
      </c>
      <c r="O752" s="7" t="str">
        <f>MATCH(TRIM(C752), '📊 COGS'!A:A, 0)</f>
        <v>#N/A</v>
      </c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>
        <v>0.0</v>
      </c>
      <c r="O753" s="7" t="str">
        <f>MATCH(TRIM(C753), '📊 COGS'!A:A, 0)</f>
        <v>#N/A</v>
      </c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>
        <v>0.0</v>
      </c>
      <c r="O754" s="7" t="str">
        <f>MATCH(TRIM(C754), '📊 COGS'!A:A, 0)</f>
        <v>#N/A</v>
      </c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>
        <v>0.0</v>
      </c>
      <c r="O755" s="7" t="str">
        <f>MATCH(TRIM(C755), '📊 COGS'!A:A, 0)</f>
        <v>#N/A</v>
      </c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>
        <v>0.0</v>
      </c>
      <c r="O756" s="7" t="str">
        <f>MATCH(TRIM(C756), '📊 COGS'!A:A, 0)</f>
        <v>#N/A</v>
      </c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>
        <v>0.0</v>
      </c>
      <c r="O757" s="7" t="str">
        <f>MATCH(TRIM(C757), '📊 COGS'!A:A, 0)</f>
        <v>#N/A</v>
      </c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>
        <v>0.0</v>
      </c>
      <c r="O758" s="7" t="str">
        <f>MATCH(TRIM(C758), '📊 COGS'!A:A, 0)</f>
        <v>#N/A</v>
      </c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>
        <v>0.0</v>
      </c>
      <c r="O759" s="7" t="str">
        <f>MATCH(TRIM(C759), '📊 COGS'!A:A, 0)</f>
        <v>#N/A</v>
      </c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>
        <v>0.0</v>
      </c>
      <c r="O760" s="7" t="str">
        <f>MATCH(TRIM(C760), '📊 COGS'!A:A, 0)</f>
        <v>#N/A</v>
      </c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>
        <v>0.0</v>
      </c>
      <c r="O761" s="7" t="str">
        <f>MATCH(TRIM(C761), '📊 COGS'!A:A, 0)</f>
        <v>#N/A</v>
      </c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>
        <v>0.0</v>
      </c>
      <c r="O762" s="7" t="str">
        <f>MATCH(TRIM(C762), '📊 COGS'!A:A, 0)</f>
        <v>#N/A</v>
      </c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>
        <v>0.0</v>
      </c>
      <c r="O763" s="7" t="str">
        <f>MATCH(TRIM(C763), '📊 COGS'!A:A, 0)</f>
        <v>#N/A</v>
      </c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>
        <v>0.0</v>
      </c>
      <c r="O764" s="7" t="str">
        <f>MATCH(TRIM(C764), '📊 COGS'!A:A, 0)</f>
        <v>#N/A</v>
      </c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>
        <v>0.0</v>
      </c>
      <c r="O765" s="7" t="str">
        <f>MATCH(TRIM(C765), '📊 COGS'!A:A, 0)</f>
        <v>#N/A</v>
      </c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>
        <v>0.0</v>
      </c>
      <c r="O766" s="7" t="str">
        <f>MATCH(TRIM(C766), '📊 COGS'!A:A, 0)</f>
        <v>#N/A</v>
      </c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>
        <v>0.0</v>
      </c>
      <c r="O767" s="7" t="str">
        <f>MATCH(TRIM(C767), '📊 COGS'!A:A, 0)</f>
        <v>#N/A</v>
      </c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>
        <v>0.0</v>
      </c>
      <c r="O768" s="7" t="str">
        <f>MATCH(TRIM(C768), '📊 COGS'!A:A, 0)</f>
        <v>#N/A</v>
      </c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>
        <v>0.0</v>
      </c>
      <c r="O769" s="7" t="str">
        <f>MATCH(TRIM(C769), '📊 COGS'!A:A, 0)</f>
        <v>#N/A</v>
      </c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>
        <v>0.0</v>
      </c>
      <c r="O770" s="7" t="str">
        <f>MATCH(TRIM(C770), '📊 COGS'!A:A, 0)</f>
        <v>#N/A</v>
      </c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>
        <v>0.0</v>
      </c>
      <c r="O771" s="7" t="str">
        <f>MATCH(TRIM(C771), '📊 COGS'!A:A, 0)</f>
        <v>#N/A</v>
      </c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>
        <v>0.0</v>
      </c>
      <c r="O772" s="7" t="str">
        <f>MATCH(TRIM(C772), '📊 COGS'!A:A, 0)</f>
        <v>#N/A</v>
      </c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>
        <v>0.0</v>
      </c>
      <c r="O773" s="7" t="str">
        <f>MATCH(TRIM(C773), '📊 COGS'!A:A, 0)</f>
        <v>#N/A</v>
      </c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>
        <v>0.0</v>
      </c>
      <c r="O774" s="7" t="str">
        <f>MATCH(TRIM(C774), '📊 COGS'!A:A, 0)</f>
        <v>#N/A</v>
      </c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>
        <v>0.0</v>
      </c>
      <c r="O775" s="7" t="str">
        <f>MATCH(TRIM(C775), '📊 COGS'!A:A, 0)</f>
        <v>#N/A</v>
      </c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>
        <v>0.0</v>
      </c>
      <c r="O776" s="7" t="str">
        <f>MATCH(TRIM(C776), '📊 COGS'!A:A, 0)</f>
        <v>#N/A</v>
      </c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>
        <v>0.0</v>
      </c>
      <c r="O777" s="7" t="str">
        <f>MATCH(TRIM(C777), '📊 COGS'!A:A, 0)</f>
        <v>#N/A</v>
      </c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>
        <v>0.0</v>
      </c>
      <c r="O778" s="7" t="str">
        <f>MATCH(TRIM(C778), '📊 COGS'!A:A, 0)</f>
        <v>#N/A</v>
      </c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>
        <v>0.0</v>
      </c>
      <c r="O779" s="7" t="str">
        <f>MATCH(TRIM(C779), '📊 COGS'!A:A, 0)</f>
        <v>#N/A</v>
      </c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>
        <v>0.0</v>
      </c>
      <c r="O780" s="7" t="str">
        <f>MATCH(TRIM(C780), '📊 COGS'!A:A, 0)</f>
        <v>#N/A</v>
      </c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>
        <v>0.0</v>
      </c>
      <c r="O781" s="7" t="str">
        <f>MATCH(TRIM(C781), '📊 COGS'!A:A, 0)</f>
        <v>#N/A</v>
      </c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>
        <v>0.0</v>
      </c>
      <c r="O782" s="7" t="str">
        <f>MATCH(TRIM(C782), '📊 COGS'!A:A, 0)</f>
        <v>#N/A</v>
      </c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>
        <v>0.0</v>
      </c>
      <c r="O783" s="7" t="str">
        <f>MATCH(TRIM(C783), '📊 COGS'!A:A, 0)</f>
        <v>#N/A</v>
      </c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>
        <v>0.0</v>
      </c>
      <c r="O784" s="7" t="str">
        <f>MATCH(TRIM(C784), '📊 COGS'!A:A, 0)</f>
        <v>#N/A</v>
      </c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>
        <v>0.0</v>
      </c>
      <c r="O785" s="7" t="str">
        <f>MATCH(TRIM(C785), '📊 COGS'!A:A, 0)</f>
        <v>#N/A</v>
      </c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>
        <v>0.0</v>
      </c>
      <c r="O786" s="7" t="str">
        <f>MATCH(TRIM(C786), '📊 COGS'!A:A, 0)</f>
        <v>#N/A</v>
      </c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>
        <v>0.0</v>
      </c>
      <c r="O787" s="7" t="str">
        <f>MATCH(TRIM(C787), '📊 COGS'!A:A, 0)</f>
        <v>#N/A</v>
      </c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>
        <v>0.0</v>
      </c>
      <c r="O788" s="7" t="str">
        <f>MATCH(TRIM(C788), '📊 COGS'!A:A, 0)</f>
        <v>#N/A</v>
      </c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>
        <v>0.0</v>
      </c>
      <c r="O789" s="7" t="str">
        <f>MATCH(TRIM(C789), '📊 COGS'!A:A, 0)</f>
        <v>#N/A</v>
      </c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>
        <v>0.0</v>
      </c>
      <c r="O790" s="7" t="str">
        <f>MATCH(TRIM(C790), '📊 COGS'!A:A, 0)</f>
        <v>#N/A</v>
      </c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>
        <v>0.0</v>
      </c>
      <c r="O791" s="7" t="str">
        <f>MATCH(TRIM(C791), '📊 COGS'!A:A, 0)</f>
        <v>#N/A</v>
      </c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>
        <v>0.0</v>
      </c>
      <c r="O792" s="7" t="str">
        <f>MATCH(TRIM(C792), '📊 COGS'!A:A, 0)</f>
        <v>#N/A</v>
      </c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>
        <v>0.0</v>
      </c>
      <c r="O793" s="7" t="str">
        <f>MATCH(TRIM(C793), '📊 COGS'!A:A, 0)</f>
        <v>#N/A</v>
      </c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>
        <v>0.0</v>
      </c>
      <c r="O794" s="7" t="str">
        <f>MATCH(TRIM(C794), '📊 COGS'!A:A, 0)</f>
        <v>#N/A</v>
      </c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>
        <v>0.0</v>
      </c>
      <c r="O795" s="7" t="str">
        <f>MATCH(TRIM(C795), '📊 COGS'!A:A, 0)</f>
        <v>#N/A</v>
      </c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>
        <v>0.0</v>
      </c>
      <c r="O796" s="7" t="str">
        <f>MATCH(TRIM(C796), '📊 COGS'!A:A, 0)</f>
        <v>#N/A</v>
      </c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>
        <v>0.0</v>
      </c>
      <c r="O797" s="7" t="str">
        <f>MATCH(TRIM(C797), '📊 COGS'!A:A, 0)</f>
        <v>#N/A</v>
      </c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>
        <v>0.0</v>
      </c>
      <c r="O798" s="7" t="str">
        <f>MATCH(TRIM(C798), '📊 COGS'!A:A, 0)</f>
        <v>#N/A</v>
      </c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>
        <v>0.0</v>
      </c>
      <c r="O799" s="7" t="str">
        <f>MATCH(TRIM(C799), '📊 COGS'!A:A, 0)</f>
        <v>#N/A</v>
      </c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>
        <v>0.0</v>
      </c>
      <c r="O800" s="7" t="str">
        <f>MATCH(TRIM(C800), '📊 COGS'!A:A, 0)</f>
        <v>#N/A</v>
      </c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>
        <v>0.0</v>
      </c>
      <c r="O801" s="7" t="str">
        <f>MATCH(TRIM(C801), '📊 COGS'!A:A, 0)</f>
        <v>#N/A</v>
      </c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>
        <v>0.0</v>
      </c>
      <c r="O802" s="7" t="str">
        <f>MATCH(TRIM(C802), '📊 COGS'!A:A, 0)</f>
        <v>#N/A</v>
      </c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>
        <v>0.0</v>
      </c>
      <c r="O803" s="7" t="str">
        <f>MATCH(TRIM(C803), '📊 COGS'!A:A, 0)</f>
        <v>#N/A</v>
      </c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>
        <v>0.0</v>
      </c>
      <c r="O804" s="7" t="str">
        <f>MATCH(TRIM(C804), '📊 COGS'!A:A, 0)</f>
        <v>#N/A</v>
      </c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>
        <v>0.0</v>
      </c>
      <c r="O805" s="7" t="str">
        <f>MATCH(TRIM(C805), '📊 COGS'!A:A, 0)</f>
        <v>#N/A</v>
      </c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>
        <v>0.0</v>
      </c>
      <c r="O806" s="7" t="str">
        <f>MATCH(TRIM(C806), '📊 COGS'!A:A, 0)</f>
        <v>#N/A</v>
      </c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>
        <v>0.0</v>
      </c>
      <c r="O807" s="7" t="str">
        <f>MATCH(TRIM(C807), '📊 COGS'!A:A, 0)</f>
        <v>#N/A</v>
      </c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>
        <v>0.0</v>
      </c>
      <c r="O808" s="7" t="str">
        <f>MATCH(TRIM(C808), '📊 COGS'!A:A, 0)</f>
        <v>#N/A</v>
      </c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>
        <v>0.0</v>
      </c>
      <c r="O809" s="7" t="str">
        <f>MATCH(TRIM(C809), '📊 COGS'!A:A, 0)</f>
        <v>#N/A</v>
      </c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>
        <v>0.0</v>
      </c>
      <c r="O810" s="7" t="str">
        <f>MATCH(TRIM(C810), '📊 COGS'!A:A, 0)</f>
        <v>#N/A</v>
      </c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>
        <v>0.0</v>
      </c>
      <c r="O811" s="7" t="str">
        <f>MATCH(TRIM(C811), '📊 COGS'!A:A, 0)</f>
        <v>#N/A</v>
      </c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>
        <v>0.0</v>
      </c>
      <c r="O812" s="7" t="str">
        <f>MATCH(TRIM(C812), '📊 COGS'!A:A, 0)</f>
        <v>#N/A</v>
      </c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>
        <v>0.0</v>
      </c>
      <c r="O813" s="7" t="str">
        <f>MATCH(TRIM(C813), '📊 COGS'!A:A, 0)</f>
        <v>#N/A</v>
      </c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>
        <v>0.0</v>
      </c>
      <c r="O814" s="7" t="str">
        <f>MATCH(TRIM(C814), '📊 COGS'!A:A, 0)</f>
        <v>#N/A</v>
      </c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>
        <v>0.0</v>
      </c>
      <c r="O815" s="7" t="str">
        <f>MATCH(TRIM(C815), '📊 COGS'!A:A, 0)</f>
        <v>#N/A</v>
      </c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>
        <v>0.0</v>
      </c>
      <c r="O816" s="7" t="str">
        <f>MATCH(TRIM(C816), '📊 COGS'!A:A, 0)</f>
        <v>#N/A</v>
      </c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>
        <v>0.0</v>
      </c>
      <c r="O817" s="7" t="str">
        <f>MATCH(TRIM(C817), '📊 COGS'!A:A, 0)</f>
        <v>#N/A</v>
      </c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>
        <v>0.0</v>
      </c>
      <c r="O818" s="7" t="str">
        <f>MATCH(TRIM(C818), '📊 COGS'!A:A, 0)</f>
        <v>#N/A</v>
      </c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>
        <v>0.0</v>
      </c>
      <c r="O819" s="7" t="str">
        <f>MATCH(TRIM(C819), '📊 COGS'!A:A, 0)</f>
        <v>#N/A</v>
      </c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>
        <v>0.0</v>
      </c>
      <c r="O820" s="7" t="str">
        <f>MATCH(TRIM(C820), '📊 COGS'!A:A, 0)</f>
        <v>#N/A</v>
      </c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>
        <v>0.0</v>
      </c>
      <c r="O821" s="7" t="str">
        <f>MATCH(TRIM(C821), '📊 COGS'!A:A, 0)</f>
        <v>#N/A</v>
      </c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>
        <v>0.0</v>
      </c>
      <c r="O822" s="7" t="str">
        <f>MATCH(TRIM(C822), '📊 COGS'!A:A, 0)</f>
        <v>#N/A</v>
      </c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>
        <v>0.0</v>
      </c>
      <c r="O823" s="7" t="str">
        <f>MATCH(TRIM(C823), '📊 COGS'!A:A, 0)</f>
        <v>#N/A</v>
      </c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>
        <v>0.0</v>
      </c>
      <c r="O824" s="7" t="str">
        <f>MATCH(TRIM(C824), '📊 COGS'!A:A, 0)</f>
        <v>#N/A</v>
      </c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>
        <v>0.0</v>
      </c>
      <c r="O825" s="7" t="str">
        <f>MATCH(TRIM(C825), '📊 COGS'!A:A, 0)</f>
        <v>#N/A</v>
      </c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>
        <v>0.0</v>
      </c>
      <c r="O826" s="7" t="str">
        <f>MATCH(TRIM(C826), '📊 COGS'!A:A, 0)</f>
        <v>#N/A</v>
      </c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>
        <v>0.0</v>
      </c>
      <c r="O827" s="7" t="str">
        <f>MATCH(TRIM(C827), '📊 COGS'!A:A, 0)</f>
        <v>#N/A</v>
      </c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>
        <v>0.0</v>
      </c>
      <c r="O828" s="7" t="str">
        <f>MATCH(TRIM(C828), '📊 COGS'!A:A, 0)</f>
        <v>#N/A</v>
      </c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>
        <v>0.0</v>
      </c>
      <c r="O829" s="7" t="str">
        <f>MATCH(TRIM(C829), '📊 COGS'!A:A, 0)</f>
        <v>#N/A</v>
      </c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>
        <v>0.0</v>
      </c>
      <c r="O830" s="7" t="str">
        <f>MATCH(TRIM(C830), '📊 COGS'!A:A, 0)</f>
        <v>#N/A</v>
      </c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>
        <v>0.0</v>
      </c>
      <c r="O831" s="7" t="str">
        <f>MATCH(TRIM(C831), '📊 COGS'!A:A, 0)</f>
        <v>#N/A</v>
      </c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>
        <v>0.0</v>
      </c>
      <c r="O832" s="7" t="str">
        <f>MATCH(TRIM(C832), '📊 COGS'!A:A, 0)</f>
        <v>#N/A</v>
      </c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>
        <v>0.0</v>
      </c>
      <c r="O833" s="7" t="str">
        <f>MATCH(TRIM(C833), '📊 COGS'!A:A, 0)</f>
        <v>#N/A</v>
      </c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>
        <v>0.0</v>
      </c>
      <c r="O834" s="7" t="str">
        <f>MATCH(TRIM(C834), '📊 COGS'!A:A, 0)</f>
        <v>#N/A</v>
      </c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>
        <v>0.0</v>
      </c>
      <c r="O835" s="7" t="str">
        <f>MATCH(TRIM(C835), '📊 COGS'!A:A, 0)</f>
        <v>#N/A</v>
      </c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>
        <v>0.0</v>
      </c>
      <c r="O836" s="7" t="str">
        <f>MATCH(TRIM(C836), '📊 COGS'!A:A, 0)</f>
        <v>#N/A</v>
      </c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>
        <v>0.0</v>
      </c>
      <c r="O837" s="7" t="str">
        <f>MATCH(TRIM(C837), '📊 COGS'!A:A, 0)</f>
        <v>#N/A</v>
      </c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>
        <v>0.0</v>
      </c>
      <c r="O838" s="7" t="str">
        <f>MATCH(TRIM(C838), '📊 COGS'!A:A, 0)</f>
        <v>#N/A</v>
      </c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>
        <v>0.0</v>
      </c>
      <c r="O839" s="7" t="str">
        <f>MATCH(TRIM(C839), '📊 COGS'!A:A, 0)</f>
        <v>#N/A</v>
      </c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>
        <v>0.0</v>
      </c>
      <c r="O840" s="7" t="str">
        <f>MATCH(TRIM(C840), '📊 COGS'!A:A, 0)</f>
        <v>#N/A</v>
      </c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>
        <v>0.0</v>
      </c>
      <c r="O841" s="7" t="str">
        <f>MATCH(TRIM(C841), '📊 COGS'!A:A, 0)</f>
        <v>#N/A</v>
      </c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>
        <v>0.0</v>
      </c>
      <c r="O842" s="7" t="str">
        <f>MATCH(TRIM(C842), '📊 COGS'!A:A, 0)</f>
        <v>#N/A</v>
      </c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>
        <v>0.0</v>
      </c>
      <c r="O843" s="7" t="str">
        <f>MATCH(TRIM(C843), '📊 COGS'!A:A, 0)</f>
        <v>#N/A</v>
      </c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>
        <v>0.0</v>
      </c>
      <c r="O844" s="7" t="str">
        <f>MATCH(TRIM(C844), '📊 COGS'!A:A, 0)</f>
        <v>#N/A</v>
      </c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>
        <v>0.0</v>
      </c>
      <c r="O845" s="7" t="str">
        <f>MATCH(TRIM(C845), '📊 COGS'!A:A, 0)</f>
        <v>#N/A</v>
      </c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>
        <v>0.0</v>
      </c>
      <c r="O846" s="7" t="str">
        <f>MATCH(TRIM(C846), '📊 COGS'!A:A, 0)</f>
        <v>#N/A</v>
      </c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>
        <v>0.0</v>
      </c>
      <c r="O847" s="7" t="str">
        <f>MATCH(TRIM(C847), '📊 COGS'!A:A, 0)</f>
        <v>#N/A</v>
      </c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>
        <v>0.0</v>
      </c>
      <c r="O848" s="7" t="str">
        <f>MATCH(TRIM(C848), '📊 COGS'!A:A, 0)</f>
        <v>#N/A</v>
      </c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>
        <v>0.0</v>
      </c>
      <c r="O849" s="7" t="str">
        <f>MATCH(TRIM(C849), '📊 COGS'!A:A, 0)</f>
        <v>#N/A</v>
      </c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>
        <v>0.0</v>
      </c>
      <c r="O850" s="7" t="str">
        <f>MATCH(TRIM(C850), '📊 COGS'!A:A, 0)</f>
        <v>#N/A</v>
      </c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>
        <v>0.0</v>
      </c>
      <c r="O851" s="7" t="str">
        <f>MATCH(TRIM(C851), '📊 COGS'!A:A, 0)</f>
        <v>#N/A</v>
      </c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>
        <v>0.0</v>
      </c>
      <c r="O852" s="7" t="str">
        <f>MATCH(TRIM(C852), '📊 COGS'!A:A, 0)</f>
        <v>#N/A</v>
      </c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>
        <v>0.0</v>
      </c>
      <c r="O853" s="7" t="str">
        <f>MATCH(TRIM(C853), '📊 COGS'!A:A, 0)</f>
        <v>#N/A</v>
      </c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>
        <v>0.0</v>
      </c>
      <c r="O854" s="7" t="str">
        <f>MATCH(TRIM(C854), '📊 COGS'!A:A, 0)</f>
        <v>#N/A</v>
      </c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>
        <v>0.0</v>
      </c>
      <c r="O855" s="7" t="str">
        <f>MATCH(TRIM(C855), '📊 COGS'!A:A, 0)</f>
        <v>#N/A</v>
      </c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>
        <v>0.0</v>
      </c>
      <c r="O856" s="7" t="str">
        <f>MATCH(TRIM(C856), '📊 COGS'!A:A, 0)</f>
        <v>#N/A</v>
      </c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>
        <v>0.0</v>
      </c>
      <c r="O857" s="7" t="str">
        <f>MATCH(TRIM(C857), '📊 COGS'!A:A, 0)</f>
        <v>#N/A</v>
      </c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>
        <v>0.0</v>
      </c>
      <c r="O858" s="7" t="str">
        <f>MATCH(TRIM(C858), '📊 COGS'!A:A, 0)</f>
        <v>#N/A</v>
      </c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>
        <v>0.0</v>
      </c>
      <c r="O859" s="7" t="str">
        <f>MATCH(TRIM(C859), '📊 COGS'!A:A, 0)</f>
        <v>#N/A</v>
      </c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>
        <v>0.0</v>
      </c>
      <c r="O860" s="7" t="str">
        <f>MATCH(TRIM(C860), '📊 COGS'!A:A, 0)</f>
        <v>#N/A</v>
      </c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>
        <v>0.0</v>
      </c>
      <c r="O861" s="7" t="str">
        <f>MATCH(TRIM(C861), '📊 COGS'!A:A, 0)</f>
        <v>#N/A</v>
      </c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>
        <v>0.0</v>
      </c>
      <c r="O862" s="7" t="str">
        <f>MATCH(TRIM(C862), '📊 COGS'!A:A, 0)</f>
        <v>#N/A</v>
      </c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>
        <v>0.0</v>
      </c>
      <c r="O863" s="7" t="str">
        <f>MATCH(TRIM(C863), '📊 COGS'!A:A, 0)</f>
        <v>#N/A</v>
      </c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>
        <v>0.0</v>
      </c>
      <c r="O864" s="7" t="str">
        <f>MATCH(TRIM(C864), '📊 COGS'!A:A, 0)</f>
        <v>#N/A</v>
      </c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>
        <v>0.0</v>
      </c>
      <c r="O865" s="7" t="str">
        <f>MATCH(TRIM(C865), '📊 COGS'!A:A, 0)</f>
        <v>#N/A</v>
      </c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>
        <v>0.0</v>
      </c>
      <c r="O866" s="7" t="str">
        <f>MATCH(TRIM(C866), '📊 COGS'!A:A, 0)</f>
        <v>#N/A</v>
      </c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>
        <v>0.0</v>
      </c>
      <c r="O867" s="7" t="str">
        <f>MATCH(TRIM(C867), '📊 COGS'!A:A, 0)</f>
        <v>#N/A</v>
      </c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>
        <v>0.0</v>
      </c>
      <c r="O868" s="7" t="str">
        <f>MATCH(TRIM(C868), '📊 COGS'!A:A, 0)</f>
        <v>#N/A</v>
      </c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>
        <v>0.0</v>
      </c>
      <c r="O869" s="7" t="str">
        <f>MATCH(TRIM(C869), '📊 COGS'!A:A, 0)</f>
        <v>#N/A</v>
      </c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>
        <v>0.0</v>
      </c>
      <c r="O870" s="7" t="str">
        <f>MATCH(TRIM(C870), '📊 COGS'!A:A, 0)</f>
        <v>#N/A</v>
      </c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>
        <v>0.0</v>
      </c>
      <c r="O871" s="7" t="str">
        <f>MATCH(TRIM(C871), '📊 COGS'!A:A, 0)</f>
        <v>#N/A</v>
      </c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>
        <v>0.0</v>
      </c>
      <c r="O872" s="7" t="str">
        <f>MATCH(TRIM(C872), '📊 COGS'!A:A, 0)</f>
        <v>#N/A</v>
      </c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>
        <v>0.0</v>
      </c>
      <c r="O873" s="7" t="str">
        <f>MATCH(TRIM(C873), '📊 COGS'!A:A, 0)</f>
        <v>#N/A</v>
      </c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>
        <v>0.0</v>
      </c>
      <c r="O874" s="7" t="str">
        <f>MATCH(TRIM(C874), '📊 COGS'!A:A, 0)</f>
        <v>#N/A</v>
      </c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>
        <v>0.0</v>
      </c>
      <c r="O875" s="7" t="str">
        <f>MATCH(TRIM(C875), '📊 COGS'!A:A, 0)</f>
        <v>#N/A</v>
      </c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>
        <v>0.0</v>
      </c>
      <c r="O876" s="7" t="str">
        <f>MATCH(TRIM(C876), '📊 COGS'!A:A, 0)</f>
        <v>#N/A</v>
      </c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>
        <v>0.0</v>
      </c>
      <c r="O877" s="7" t="str">
        <f>MATCH(TRIM(C877), '📊 COGS'!A:A, 0)</f>
        <v>#N/A</v>
      </c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>
        <v>0.0</v>
      </c>
      <c r="O878" s="7" t="str">
        <f>MATCH(TRIM(C878), '📊 COGS'!A:A, 0)</f>
        <v>#N/A</v>
      </c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>
        <v>0.0</v>
      </c>
      <c r="O879" s="7" t="str">
        <f>MATCH(TRIM(C879), '📊 COGS'!A:A, 0)</f>
        <v>#N/A</v>
      </c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>
        <v>0.0</v>
      </c>
      <c r="O880" s="7" t="str">
        <f>MATCH(TRIM(C880), '📊 COGS'!A:A, 0)</f>
        <v>#N/A</v>
      </c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>
        <v>0.0</v>
      </c>
      <c r="O881" s="7" t="str">
        <f>MATCH(TRIM(C881), '📊 COGS'!A:A, 0)</f>
        <v>#N/A</v>
      </c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>
        <v>0.0</v>
      </c>
      <c r="O882" s="7" t="str">
        <f>MATCH(TRIM(C882), '📊 COGS'!A:A, 0)</f>
        <v>#N/A</v>
      </c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>
        <v>0.0</v>
      </c>
      <c r="O883" s="7" t="str">
        <f>MATCH(TRIM(C883), '📊 COGS'!A:A, 0)</f>
        <v>#N/A</v>
      </c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>
        <v>0.0</v>
      </c>
      <c r="O884" s="7" t="str">
        <f>MATCH(TRIM(C884), '📊 COGS'!A:A, 0)</f>
        <v>#N/A</v>
      </c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>
        <v>0.0</v>
      </c>
      <c r="O885" s="7" t="str">
        <f>MATCH(TRIM(C885), '📊 COGS'!A:A, 0)</f>
        <v>#N/A</v>
      </c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>
        <v>0.0</v>
      </c>
      <c r="O886" s="7" t="str">
        <f>MATCH(TRIM(C886), '📊 COGS'!A:A, 0)</f>
        <v>#N/A</v>
      </c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>
        <v>0.0</v>
      </c>
      <c r="O887" s="7" t="str">
        <f>MATCH(TRIM(C887), '📊 COGS'!A:A, 0)</f>
        <v>#N/A</v>
      </c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>
        <v>0.0</v>
      </c>
      <c r="O888" s="7" t="str">
        <f>MATCH(TRIM(C888), '📊 COGS'!A:A, 0)</f>
        <v>#N/A</v>
      </c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>
        <v>0.0</v>
      </c>
      <c r="O889" s="7" t="str">
        <f>MATCH(TRIM(C889), '📊 COGS'!A:A, 0)</f>
        <v>#N/A</v>
      </c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>
        <v>0.0</v>
      </c>
      <c r="O890" s="7" t="str">
        <f>MATCH(TRIM(C890), '📊 COGS'!A:A, 0)</f>
        <v>#N/A</v>
      </c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>
        <v>0.0</v>
      </c>
      <c r="O891" s="7" t="str">
        <f>MATCH(TRIM(C891), '📊 COGS'!A:A, 0)</f>
        <v>#N/A</v>
      </c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>
        <v>0.0</v>
      </c>
      <c r="O892" s="7" t="str">
        <f>MATCH(TRIM(C892), '📊 COGS'!A:A, 0)</f>
        <v>#N/A</v>
      </c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>
        <v>0.0</v>
      </c>
      <c r="O893" s="7" t="str">
        <f>MATCH(TRIM(C893), '📊 COGS'!A:A, 0)</f>
        <v>#N/A</v>
      </c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>
        <v>0.0</v>
      </c>
      <c r="O894" s="7" t="str">
        <f>MATCH(TRIM(C894), '📊 COGS'!A:A, 0)</f>
        <v>#N/A</v>
      </c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>
        <v>0.0</v>
      </c>
      <c r="O895" s="7" t="str">
        <f>MATCH(TRIM(C895), '📊 COGS'!A:A, 0)</f>
        <v>#N/A</v>
      </c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>
        <v>0.0</v>
      </c>
      <c r="O896" s="7" t="str">
        <f>MATCH(TRIM(C896), '📊 COGS'!A:A, 0)</f>
        <v>#N/A</v>
      </c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>
        <v>0.0</v>
      </c>
      <c r="O897" s="7" t="str">
        <f>MATCH(TRIM(C897), '📊 COGS'!A:A, 0)</f>
        <v>#N/A</v>
      </c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>
        <v>0.0</v>
      </c>
      <c r="O898" s="7" t="str">
        <f>MATCH(TRIM(C898), '📊 COGS'!A:A, 0)</f>
        <v>#N/A</v>
      </c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>
        <v>0.0</v>
      </c>
      <c r="O899" s="7" t="str">
        <f>MATCH(TRIM(C899), '📊 COGS'!A:A, 0)</f>
        <v>#N/A</v>
      </c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>
        <v>0.0</v>
      </c>
      <c r="O900" s="7" t="str">
        <f>MATCH(TRIM(C900), '📊 COGS'!A:A, 0)</f>
        <v>#N/A</v>
      </c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>
        <v>0.0</v>
      </c>
      <c r="O901" s="7" t="str">
        <f>MATCH(TRIM(C901), '📊 COGS'!A:A, 0)</f>
        <v>#N/A</v>
      </c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>
        <v>0.0</v>
      </c>
      <c r="O902" s="7" t="str">
        <f>MATCH(TRIM(C902), '📊 COGS'!A:A, 0)</f>
        <v>#N/A</v>
      </c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>
        <v>0.0</v>
      </c>
      <c r="O903" s="7" t="str">
        <f>MATCH(TRIM(C903), '📊 COGS'!A:A, 0)</f>
        <v>#N/A</v>
      </c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>
        <v>0.0</v>
      </c>
      <c r="O904" s="7" t="str">
        <f>MATCH(TRIM(C904), '📊 COGS'!A:A, 0)</f>
        <v>#N/A</v>
      </c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>
        <v>0.0</v>
      </c>
      <c r="O905" s="7" t="str">
        <f>MATCH(TRIM(C905), '📊 COGS'!A:A, 0)</f>
        <v>#N/A</v>
      </c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>
        <v>0.0</v>
      </c>
      <c r="O906" s="7" t="str">
        <f>MATCH(TRIM(C906), '📊 COGS'!A:A, 0)</f>
        <v>#N/A</v>
      </c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>
        <v>0.0</v>
      </c>
      <c r="O907" s="7" t="str">
        <f>MATCH(TRIM(C907), '📊 COGS'!A:A, 0)</f>
        <v>#N/A</v>
      </c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>
        <v>0.0</v>
      </c>
      <c r="O908" s="7" t="str">
        <f>MATCH(TRIM(C908), '📊 COGS'!A:A, 0)</f>
        <v>#N/A</v>
      </c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>
        <v>0.0</v>
      </c>
      <c r="O909" s="7" t="str">
        <f>MATCH(TRIM(C909), '📊 COGS'!A:A, 0)</f>
        <v>#N/A</v>
      </c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>
        <v>0.0</v>
      </c>
      <c r="O910" s="7" t="str">
        <f>MATCH(TRIM(C910), '📊 COGS'!A:A, 0)</f>
        <v>#N/A</v>
      </c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>
        <v>0.0</v>
      </c>
      <c r="O911" s="7" t="str">
        <f>MATCH(TRIM(C911), '📊 COGS'!A:A, 0)</f>
        <v>#N/A</v>
      </c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>
        <v>0.0</v>
      </c>
      <c r="O912" s="7" t="str">
        <f>MATCH(TRIM(C912), '📊 COGS'!A:A, 0)</f>
        <v>#N/A</v>
      </c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>
        <v>0.0</v>
      </c>
      <c r="O913" s="7" t="str">
        <f>MATCH(TRIM(C913), '📊 COGS'!A:A, 0)</f>
        <v>#N/A</v>
      </c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>
        <v>0.0</v>
      </c>
      <c r="O914" s="7" t="str">
        <f>MATCH(TRIM(C914), '📊 COGS'!A:A, 0)</f>
        <v>#N/A</v>
      </c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>
        <v>0.0</v>
      </c>
      <c r="O915" s="7" t="str">
        <f>MATCH(TRIM(C915), '📊 COGS'!A:A, 0)</f>
        <v>#N/A</v>
      </c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>
        <v>0.0</v>
      </c>
      <c r="O916" s="7" t="str">
        <f>MATCH(TRIM(C916), '📊 COGS'!A:A, 0)</f>
        <v>#N/A</v>
      </c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>
        <v>0.0</v>
      </c>
      <c r="O917" s="7" t="str">
        <f>MATCH(TRIM(C917), '📊 COGS'!A:A, 0)</f>
        <v>#N/A</v>
      </c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>
        <v>0.0</v>
      </c>
      <c r="O918" s="7" t="str">
        <f>MATCH(TRIM(C918), '📊 COGS'!A:A, 0)</f>
        <v>#N/A</v>
      </c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>
        <v>0.0</v>
      </c>
      <c r="O919" s="7" t="str">
        <f>MATCH(TRIM(C919), '📊 COGS'!A:A, 0)</f>
        <v>#N/A</v>
      </c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>
        <v>0.0</v>
      </c>
      <c r="O920" s="7" t="str">
        <f>MATCH(TRIM(C920), '📊 COGS'!A:A, 0)</f>
        <v>#N/A</v>
      </c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>
        <v>0.0</v>
      </c>
      <c r="O921" s="7" t="str">
        <f>MATCH(TRIM(C921), '📊 COGS'!A:A, 0)</f>
        <v>#N/A</v>
      </c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>
        <v>0.0</v>
      </c>
      <c r="O922" s="7" t="str">
        <f>MATCH(TRIM(C922), '📊 COGS'!A:A, 0)</f>
        <v>#N/A</v>
      </c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>
        <v>0.0</v>
      </c>
      <c r="O923" s="7" t="str">
        <f>MATCH(TRIM(C923), '📊 COGS'!A:A, 0)</f>
        <v>#N/A</v>
      </c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>
        <v>0.0</v>
      </c>
      <c r="O924" s="7" t="str">
        <f>MATCH(TRIM(C924), '📊 COGS'!A:A, 0)</f>
        <v>#N/A</v>
      </c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>
        <v>0.0</v>
      </c>
      <c r="O925" s="7" t="str">
        <f>MATCH(TRIM(C925), '📊 COGS'!A:A, 0)</f>
        <v>#N/A</v>
      </c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>
        <v>0.0</v>
      </c>
      <c r="O926" s="7" t="str">
        <f>MATCH(TRIM(C926), '📊 COGS'!A:A, 0)</f>
        <v>#N/A</v>
      </c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>
        <v>0.0</v>
      </c>
      <c r="O927" s="7" t="str">
        <f>MATCH(TRIM(C927), '📊 COGS'!A:A, 0)</f>
        <v>#N/A</v>
      </c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>
        <v>0.0</v>
      </c>
      <c r="O928" s="7" t="str">
        <f>MATCH(TRIM(C928), '📊 COGS'!A:A, 0)</f>
        <v>#N/A</v>
      </c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>
        <v>0.0</v>
      </c>
      <c r="O929" s="7" t="str">
        <f>MATCH(TRIM(C929), '📊 COGS'!A:A, 0)</f>
        <v>#N/A</v>
      </c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>
        <v>0.0</v>
      </c>
      <c r="O930" s="7" t="str">
        <f>MATCH(TRIM(C930), '📊 COGS'!A:A, 0)</f>
        <v>#N/A</v>
      </c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>
        <v>0.0</v>
      </c>
      <c r="O931" s="7" t="str">
        <f>MATCH(TRIM(C931), '📊 COGS'!A:A, 0)</f>
        <v>#N/A</v>
      </c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>
        <v>0.0</v>
      </c>
      <c r="O932" s="7" t="str">
        <f>MATCH(TRIM(C932), '📊 COGS'!A:A, 0)</f>
        <v>#N/A</v>
      </c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>
        <v>0.0</v>
      </c>
      <c r="O933" s="7" t="str">
        <f>MATCH(TRIM(C933), '📊 COGS'!A:A, 0)</f>
        <v>#N/A</v>
      </c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>
        <v>0.0</v>
      </c>
      <c r="O934" s="7" t="str">
        <f>MATCH(TRIM(C934), '📊 COGS'!A:A, 0)</f>
        <v>#N/A</v>
      </c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>
        <v>0.0</v>
      </c>
      <c r="O935" s="7" t="str">
        <f>MATCH(TRIM(C935), '📊 COGS'!A:A, 0)</f>
        <v>#N/A</v>
      </c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>
        <v>0.0</v>
      </c>
      <c r="O936" s="7" t="str">
        <f>MATCH(TRIM(C936), '📊 COGS'!A:A, 0)</f>
        <v>#N/A</v>
      </c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>
        <v>0.0</v>
      </c>
      <c r="O937" s="7" t="str">
        <f>MATCH(TRIM(C937), '📊 COGS'!A:A, 0)</f>
        <v>#N/A</v>
      </c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>
        <v>0.0</v>
      </c>
      <c r="O938" s="7" t="str">
        <f>MATCH(TRIM(C938), '📊 COGS'!A:A, 0)</f>
        <v>#N/A</v>
      </c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>
        <v>0.0</v>
      </c>
      <c r="O939" s="7" t="str">
        <f>MATCH(TRIM(C939), '📊 COGS'!A:A, 0)</f>
        <v>#N/A</v>
      </c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>
        <v>0.0</v>
      </c>
      <c r="O940" s="7" t="str">
        <f>MATCH(TRIM(C940), '📊 COGS'!A:A, 0)</f>
        <v>#N/A</v>
      </c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>
        <v>0.0</v>
      </c>
      <c r="O941" s="7" t="str">
        <f>MATCH(TRIM(C941), '📊 COGS'!A:A, 0)</f>
        <v>#N/A</v>
      </c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>
        <v>0.0</v>
      </c>
      <c r="O942" s="7" t="str">
        <f>MATCH(TRIM(C942), '📊 COGS'!A:A, 0)</f>
        <v>#N/A</v>
      </c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>
        <v>0.0</v>
      </c>
      <c r="O943" s="7" t="str">
        <f>MATCH(TRIM(C943), '📊 COGS'!A:A, 0)</f>
        <v>#N/A</v>
      </c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>
        <v>0.0</v>
      </c>
      <c r="O944" s="7" t="str">
        <f>MATCH(TRIM(C944), '📊 COGS'!A:A, 0)</f>
        <v>#N/A</v>
      </c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>
        <v>0.0</v>
      </c>
      <c r="O945" s="7" t="str">
        <f>MATCH(TRIM(C945), '📊 COGS'!A:A, 0)</f>
        <v>#N/A</v>
      </c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>
        <v>0.0</v>
      </c>
      <c r="O946" s="7" t="str">
        <f>MATCH(TRIM(C946), '📊 COGS'!A:A, 0)</f>
        <v>#N/A</v>
      </c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>
        <v>0.0</v>
      </c>
      <c r="O947" s="7" t="str">
        <f>MATCH(TRIM(C947), '📊 COGS'!A:A, 0)</f>
        <v>#N/A</v>
      </c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>
        <v>0.0</v>
      </c>
      <c r="O948" s="7" t="str">
        <f>MATCH(TRIM(C948), '📊 COGS'!A:A, 0)</f>
        <v>#N/A</v>
      </c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>
        <v>0.0</v>
      </c>
      <c r="O949" s="7" t="str">
        <f>MATCH(TRIM(C949), '📊 COGS'!A:A, 0)</f>
        <v>#N/A</v>
      </c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>
        <v>0.0</v>
      </c>
      <c r="O950" s="7" t="str">
        <f>MATCH(TRIM(C950), '📊 COGS'!A:A, 0)</f>
        <v>#N/A</v>
      </c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>
        <v>0.0</v>
      </c>
      <c r="O951" s="7" t="str">
        <f>MATCH(TRIM(C951), '📊 COGS'!A:A, 0)</f>
        <v>#N/A</v>
      </c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>
        <v>0.0</v>
      </c>
      <c r="O952" s="7" t="str">
        <f>MATCH(TRIM(C952), '📊 COGS'!A:A, 0)</f>
        <v>#N/A</v>
      </c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>
        <v>0.0</v>
      </c>
      <c r="O953" s="7" t="str">
        <f>MATCH(TRIM(C953), '📊 COGS'!A:A, 0)</f>
        <v>#N/A</v>
      </c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>
        <v>0.0</v>
      </c>
      <c r="O954" s="7" t="str">
        <f>MATCH(TRIM(C954), '📊 COGS'!A:A, 0)</f>
        <v>#N/A</v>
      </c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>
        <v>0.0</v>
      </c>
      <c r="O955" s="7" t="str">
        <f>MATCH(TRIM(C955), '📊 COGS'!A:A, 0)</f>
        <v>#N/A</v>
      </c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>
        <v>0.0</v>
      </c>
      <c r="O956" s="7" t="str">
        <f>MATCH(TRIM(C956), '📊 COGS'!A:A, 0)</f>
        <v>#N/A</v>
      </c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>
        <v>0.0</v>
      </c>
      <c r="O957" s="7" t="str">
        <f>MATCH(TRIM(C957), '📊 COGS'!A:A, 0)</f>
        <v>#N/A</v>
      </c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>
        <v>0.0</v>
      </c>
      <c r="O958" s="7" t="str">
        <f>MATCH(TRIM(C958), '📊 COGS'!A:A, 0)</f>
        <v>#N/A</v>
      </c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>
        <v>0.0</v>
      </c>
      <c r="O959" s="7" t="str">
        <f>MATCH(TRIM(C959), '📊 COGS'!A:A, 0)</f>
        <v>#N/A</v>
      </c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>
        <v>0.0</v>
      </c>
      <c r="O960" s="7" t="str">
        <f>MATCH(TRIM(C960), '📊 COGS'!A:A, 0)</f>
        <v>#N/A</v>
      </c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>
        <v>0.0</v>
      </c>
      <c r="O961" s="7" t="str">
        <f>MATCH(TRIM(C961), '📊 COGS'!A:A, 0)</f>
        <v>#N/A</v>
      </c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>
        <v>0.0</v>
      </c>
      <c r="O962" s="7" t="str">
        <f>MATCH(TRIM(C962), '📊 COGS'!A:A, 0)</f>
        <v>#N/A</v>
      </c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>
        <v>0.0</v>
      </c>
      <c r="O963" s="7" t="str">
        <f>MATCH(TRIM(C963), '📊 COGS'!A:A, 0)</f>
        <v>#N/A</v>
      </c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>
        <v>0.0</v>
      </c>
      <c r="O964" s="7" t="str">
        <f>MATCH(TRIM(C964), '📊 COGS'!A:A, 0)</f>
        <v>#N/A</v>
      </c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>
        <v>0.0</v>
      </c>
      <c r="O965" s="7" t="str">
        <f>MATCH(TRIM(C965), '📊 COGS'!A:A, 0)</f>
        <v>#N/A</v>
      </c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>
        <v>0.0</v>
      </c>
      <c r="O966" s="7" t="str">
        <f>MATCH(TRIM(C966), '📊 COGS'!A:A, 0)</f>
        <v>#N/A</v>
      </c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>
        <v>0.0</v>
      </c>
      <c r="O967" s="7" t="str">
        <f>MATCH(TRIM(C967), '📊 COGS'!A:A, 0)</f>
        <v>#N/A</v>
      </c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>
        <v>0.0</v>
      </c>
      <c r="O968" s="7" t="str">
        <f>MATCH(TRIM(C968), '📊 COGS'!A:A, 0)</f>
        <v>#N/A</v>
      </c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>
        <v>0.0</v>
      </c>
      <c r="O969" s="7" t="str">
        <f>MATCH(TRIM(C969), '📊 COGS'!A:A, 0)</f>
        <v>#N/A</v>
      </c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>
        <v>0.0</v>
      </c>
      <c r="O970" s="7" t="str">
        <f>MATCH(TRIM(C970), '📊 COGS'!A:A, 0)</f>
        <v>#N/A</v>
      </c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>
        <v>0.0</v>
      </c>
      <c r="O971" s="7" t="str">
        <f>MATCH(TRIM(C971), '📊 COGS'!A:A, 0)</f>
        <v>#N/A</v>
      </c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>
        <v>0.0</v>
      </c>
      <c r="O972" s="7" t="str">
        <f>MATCH(TRIM(C972), '📊 COGS'!A:A, 0)</f>
        <v>#N/A</v>
      </c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>
        <v>0.0</v>
      </c>
      <c r="O973" s="7" t="str">
        <f>MATCH(TRIM(C973), '📊 COGS'!A:A, 0)</f>
        <v>#N/A</v>
      </c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>
        <v>0.0</v>
      </c>
      <c r="O974" s="7" t="str">
        <f>MATCH(TRIM(C974), '📊 COGS'!A:A, 0)</f>
        <v>#N/A</v>
      </c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>
        <v>0.0</v>
      </c>
      <c r="O975" s="7" t="str">
        <f>MATCH(TRIM(C975), '📊 COGS'!A:A, 0)</f>
        <v>#N/A</v>
      </c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>
        <v>0.0</v>
      </c>
      <c r="O976" s="7" t="str">
        <f>MATCH(TRIM(C976), '📊 COGS'!A:A, 0)</f>
        <v>#N/A</v>
      </c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>
        <v>0.0</v>
      </c>
      <c r="O977" s="7" t="str">
        <f>MATCH(TRIM(C977), '📊 COGS'!A:A, 0)</f>
        <v>#N/A</v>
      </c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>
        <v>0.0</v>
      </c>
      <c r="O978" s="7" t="str">
        <f>MATCH(TRIM(C978), '📊 COGS'!A:A, 0)</f>
        <v>#N/A</v>
      </c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>
        <v>0.0</v>
      </c>
      <c r="O979" s="7" t="str">
        <f>MATCH(TRIM(C979), '📊 COGS'!A:A, 0)</f>
        <v>#N/A</v>
      </c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>
        <v>0.0</v>
      </c>
      <c r="O980" s="7" t="str">
        <f>MATCH(TRIM(C980), '📊 COGS'!A:A, 0)</f>
        <v>#N/A</v>
      </c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>
        <v>0.0</v>
      </c>
      <c r="O981" s="7" t="str">
        <f>MATCH(TRIM(C981), '📊 COGS'!A:A, 0)</f>
        <v>#N/A</v>
      </c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>
        <v>0.0</v>
      </c>
      <c r="O982" s="7" t="str">
        <f>MATCH(TRIM(C982), '📊 COGS'!A:A, 0)</f>
        <v>#N/A</v>
      </c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>
        <v>0.0</v>
      </c>
      <c r="O983" s="7" t="str">
        <f>MATCH(TRIM(C983), '📊 COGS'!A:A, 0)</f>
        <v>#N/A</v>
      </c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>
        <v>0.0</v>
      </c>
      <c r="O984" s="7" t="str">
        <f>MATCH(TRIM(C984), '📊 COGS'!A:A, 0)</f>
        <v>#N/A</v>
      </c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>
        <v>0.0</v>
      </c>
      <c r="O985" s="7" t="str">
        <f>MATCH(TRIM(C985), '📊 COGS'!A:A, 0)</f>
        <v>#N/A</v>
      </c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>
        <v>0.0</v>
      </c>
      <c r="O986" s="7" t="str">
        <f>MATCH(TRIM(C986), '📊 COGS'!A:A, 0)</f>
        <v>#N/A</v>
      </c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>
        <v>0.0</v>
      </c>
      <c r="O987" s="7" t="str">
        <f>MATCH(TRIM(C987), '📊 COGS'!A:A, 0)</f>
        <v>#N/A</v>
      </c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>
        <v>0.0</v>
      </c>
      <c r="O988" s="7" t="str">
        <f>MATCH(TRIM(C988), '📊 COGS'!A:A, 0)</f>
        <v>#N/A</v>
      </c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>
        <v>0.0</v>
      </c>
      <c r="O989" s="7" t="str">
        <f>MATCH(TRIM(C989), '📊 COGS'!A:A, 0)</f>
        <v>#N/A</v>
      </c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>
        <v>0.0</v>
      </c>
      <c r="O990" s="7" t="str">
        <f>MATCH(TRIM(C990), '📊 COGS'!A:A, 0)</f>
        <v>#N/A</v>
      </c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>
        <v>0.0</v>
      </c>
      <c r="O991" s="7" t="str">
        <f>MATCH(TRIM(C991), '📊 COGS'!A:A, 0)</f>
        <v>#N/A</v>
      </c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>
        <v>0.0</v>
      </c>
      <c r="O992" s="7" t="str">
        <f>MATCH(TRIM(C992), '📊 COGS'!A:A, 0)</f>
        <v>#N/A</v>
      </c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>
        <v>0.0</v>
      </c>
      <c r="O993" s="7" t="str">
        <f>MATCH(TRIM(C993), '📊 COGS'!A:A, 0)</f>
        <v>#N/A</v>
      </c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>
        <v>0.0</v>
      </c>
      <c r="O994" s="7" t="str">
        <f>MATCH(TRIM(C994), '📊 COGS'!A:A, 0)</f>
        <v>#N/A</v>
      </c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>
        <v>0.0</v>
      </c>
      <c r="O995" s="7" t="str">
        <f>MATCH(TRIM(C995), '📊 COGS'!A:A, 0)</f>
        <v>#N/A</v>
      </c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>
        <v>0.0</v>
      </c>
      <c r="O996" s="7" t="str">
        <f>MATCH(TRIM(C996), '📊 COGS'!A:A, 0)</f>
        <v>#N/A</v>
      </c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>
        <v>0.0</v>
      </c>
      <c r="O997" s="7" t="str">
        <f>MATCH(TRIM(C997), '📊 COGS'!A:A, 0)</f>
        <v>#N/A</v>
      </c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>
        <v>0.0</v>
      </c>
      <c r="O998" s="7" t="str">
        <f>MATCH(TRIM(C998), '📊 COGS'!A:A, 0)</f>
        <v>#N/A</v>
      </c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>
        <v>0.0</v>
      </c>
      <c r="O999" s="7" t="str">
        <f>MATCH(TRIM(C999), '📊 COGS'!A:A, 0)</f>
        <v>#N/A</v>
      </c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>
        <v>0.0</v>
      </c>
      <c r="O1000" s="7" t="str">
        <f>MATCH(TRIM(C1000), '📊 COGS'!A:A, 0)</f>
        <v>#N/A</v>
      </c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15.5"/>
    <col customWidth="1" min="3" max="3" width="14.25"/>
    <col customWidth="1" min="4" max="4" width="16.13"/>
    <col customWidth="1" min="5" max="5" width="19.75"/>
  </cols>
  <sheetData>
    <row r="1">
      <c r="A1" s="48" t="s">
        <v>262</v>
      </c>
    </row>
    <row r="2">
      <c r="A2" s="49" t="s">
        <v>263</v>
      </c>
      <c r="B2" s="49" t="s">
        <v>264</v>
      </c>
      <c r="C2" s="49" t="s">
        <v>265</v>
      </c>
      <c r="D2" s="49" t="s">
        <v>266</v>
      </c>
      <c r="E2" s="49" t="s">
        <v>267</v>
      </c>
    </row>
    <row r="3">
      <c r="A3" s="50" t="s">
        <v>199</v>
      </c>
      <c r="B3" s="50" t="s">
        <v>177</v>
      </c>
      <c r="C3" s="50" t="s">
        <v>172</v>
      </c>
      <c r="D3" s="50" t="s">
        <v>129</v>
      </c>
      <c r="E3" s="50" t="s">
        <v>133</v>
      </c>
    </row>
    <row r="4">
      <c r="A4" s="50" t="s">
        <v>169</v>
      </c>
      <c r="B4" s="50" t="s">
        <v>268</v>
      </c>
      <c r="C4" s="50" t="s">
        <v>269</v>
      </c>
      <c r="D4" s="50" t="s">
        <v>143</v>
      </c>
      <c r="E4" s="50" t="s">
        <v>229</v>
      </c>
    </row>
    <row r="5">
      <c r="A5" s="50" t="s">
        <v>174</v>
      </c>
      <c r="B5" s="50" t="s">
        <v>270</v>
      </c>
      <c r="C5" s="50" t="s">
        <v>271</v>
      </c>
      <c r="D5" s="50" t="s">
        <v>175</v>
      </c>
      <c r="E5" s="50" t="s">
        <v>272</v>
      </c>
    </row>
    <row r="6">
      <c r="B6" s="50" t="s">
        <v>192</v>
      </c>
      <c r="C6" s="50" t="s">
        <v>273</v>
      </c>
      <c r="D6" s="50" t="s">
        <v>170</v>
      </c>
    </row>
    <row r="7">
      <c r="B7" s="50" t="s">
        <v>175</v>
      </c>
      <c r="C7" s="50" t="s">
        <v>230</v>
      </c>
    </row>
    <row r="8">
      <c r="B8" s="50" t="s">
        <v>181</v>
      </c>
    </row>
    <row r="9">
      <c r="B9" s="50" t="s">
        <v>274</v>
      </c>
    </row>
    <row r="10">
      <c r="B10" s="50" t="s">
        <v>179</v>
      </c>
    </row>
    <row r="11">
      <c r="B11" s="50" t="s">
        <v>200</v>
      </c>
    </row>
    <row r="12">
      <c r="B12" s="50" t="s">
        <v>275</v>
      </c>
    </row>
    <row r="13">
      <c r="B13" s="50" t="s">
        <v>170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35.13"/>
    <col customWidth="1" min="3" max="3" width="59.25"/>
    <col customWidth="1" min="4" max="4" width="15.5"/>
    <col customWidth="1" min="5" max="5" width="19.13"/>
    <col customWidth="1" min="6" max="6" width="18.13"/>
    <col customWidth="1" min="7" max="7" width="15.75"/>
    <col customWidth="1" min="8" max="8" width="15.88"/>
    <col customWidth="1" min="9" max="9" width="15.63"/>
  </cols>
  <sheetData>
    <row r="1">
      <c r="A1" s="3" t="s">
        <v>276</v>
      </c>
      <c r="B1" s="3" t="s">
        <v>277</v>
      </c>
      <c r="C1" s="3" t="s">
        <v>278</v>
      </c>
      <c r="D1" s="3" t="s">
        <v>279</v>
      </c>
      <c r="E1" s="3" t="s">
        <v>280</v>
      </c>
      <c r="F1" s="3" t="s">
        <v>281</v>
      </c>
      <c r="G1" s="3" t="s">
        <v>282</v>
      </c>
      <c r="H1" s="3" t="s">
        <v>14</v>
      </c>
      <c r="I1" s="3" t="s">
        <v>13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9" t="s">
        <v>195</v>
      </c>
      <c r="B2" s="9" t="s">
        <v>283</v>
      </c>
      <c r="C2" s="9" t="s">
        <v>284</v>
      </c>
      <c r="D2" s="9" t="s">
        <v>285</v>
      </c>
      <c r="E2" s="9" t="s">
        <v>286</v>
      </c>
      <c r="F2" s="51">
        <v>0.3333333333333333</v>
      </c>
      <c r="G2" s="7"/>
      <c r="H2" s="9" t="s">
        <v>11</v>
      </c>
      <c r="I2" s="9" t="s">
        <v>287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9" t="s">
        <v>231</v>
      </c>
      <c r="B3" s="9" t="s">
        <v>288</v>
      </c>
      <c r="C3" s="9" t="s">
        <v>284</v>
      </c>
      <c r="D3" s="9" t="s">
        <v>285</v>
      </c>
      <c r="E3" s="9" t="s">
        <v>286</v>
      </c>
      <c r="F3" s="51">
        <v>0.3333333333333333</v>
      </c>
      <c r="G3" s="7"/>
      <c r="H3" s="9" t="s">
        <v>11</v>
      </c>
      <c r="I3" s="9" t="s">
        <v>287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9" t="s">
        <v>207</v>
      </c>
      <c r="B4" s="9" t="s">
        <v>289</v>
      </c>
      <c r="C4" s="9" t="s">
        <v>284</v>
      </c>
      <c r="D4" s="9" t="s">
        <v>285</v>
      </c>
      <c r="E4" s="9" t="s">
        <v>286</v>
      </c>
      <c r="F4" s="51">
        <v>0.3333333333333333</v>
      </c>
      <c r="G4" s="7"/>
      <c r="H4" s="9" t="s">
        <v>11</v>
      </c>
      <c r="I4" s="9" t="s">
        <v>287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9" t="s">
        <v>290</v>
      </c>
      <c r="B5" s="9" t="s">
        <v>291</v>
      </c>
      <c r="C5" s="9" t="s">
        <v>284</v>
      </c>
      <c r="D5" s="9" t="s">
        <v>285</v>
      </c>
      <c r="E5" s="9" t="s">
        <v>286</v>
      </c>
      <c r="F5" s="51">
        <v>0.3333333333333333</v>
      </c>
      <c r="G5" s="7"/>
      <c r="H5" s="9" t="s">
        <v>11</v>
      </c>
      <c r="I5" s="9" t="s">
        <v>287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27.0"/>
    <col customWidth="1" min="3" max="3" width="13.5"/>
    <col customWidth="1" min="4" max="4" width="10.88"/>
    <col customWidth="1" min="5" max="5" width="5.63"/>
    <col customWidth="1" min="6" max="6" width="15.5"/>
    <col customWidth="1" min="7" max="7" width="10.0"/>
    <col customWidth="1" min="8" max="8" width="28.63"/>
  </cols>
  <sheetData>
    <row r="1">
      <c r="A1" s="2" t="s">
        <v>292</v>
      </c>
      <c r="B1" s="2" t="s">
        <v>236</v>
      </c>
      <c r="C1" s="2" t="s">
        <v>293</v>
      </c>
      <c r="D1" s="2" t="s">
        <v>294</v>
      </c>
      <c r="E1" s="2" t="s">
        <v>14</v>
      </c>
      <c r="F1" s="2" t="s">
        <v>295</v>
      </c>
      <c r="G1" s="2" t="s">
        <v>296</v>
      </c>
      <c r="H1" s="2" t="s">
        <v>13</v>
      </c>
    </row>
    <row r="2">
      <c r="A2" s="50" t="s">
        <v>153</v>
      </c>
      <c r="B2" s="50" t="s">
        <v>297</v>
      </c>
      <c r="C2" s="50" t="s">
        <v>298</v>
      </c>
      <c r="E2" s="50" t="s">
        <v>11</v>
      </c>
      <c r="F2" s="50" t="s">
        <v>299</v>
      </c>
      <c r="G2" s="50" t="s">
        <v>300</v>
      </c>
      <c r="H2" s="50" t="s">
        <v>301</v>
      </c>
    </row>
    <row r="3">
      <c r="A3" s="50" t="s">
        <v>302</v>
      </c>
      <c r="B3" s="50" t="s">
        <v>303</v>
      </c>
      <c r="C3" s="50" t="s">
        <v>285</v>
      </c>
      <c r="E3" s="50" t="s">
        <v>11</v>
      </c>
      <c r="F3" s="50" t="s">
        <v>304</v>
      </c>
      <c r="G3" s="50" t="s">
        <v>300</v>
      </c>
      <c r="H3" s="50" t="s">
        <v>305</v>
      </c>
    </row>
    <row r="4">
      <c r="A4" s="50" t="s">
        <v>306</v>
      </c>
      <c r="B4" s="50" t="s">
        <v>307</v>
      </c>
      <c r="C4" s="50" t="s">
        <v>285</v>
      </c>
      <c r="E4" s="50" t="s">
        <v>11</v>
      </c>
      <c r="F4" s="50" t="s">
        <v>304</v>
      </c>
      <c r="G4" s="50" t="s">
        <v>300</v>
      </c>
      <c r="H4" s="50" t="s">
        <v>308</v>
      </c>
    </row>
    <row r="5">
      <c r="A5" s="50" t="s">
        <v>309</v>
      </c>
      <c r="B5" s="50" t="s">
        <v>310</v>
      </c>
      <c r="C5" s="50" t="s">
        <v>311</v>
      </c>
      <c r="E5" s="50" t="s">
        <v>11</v>
      </c>
      <c r="F5" s="50" t="s">
        <v>304</v>
      </c>
      <c r="G5" s="50" t="s">
        <v>300</v>
      </c>
      <c r="H5" s="50" t="s">
        <v>312</v>
      </c>
    </row>
    <row r="6">
      <c r="A6" s="50" t="s">
        <v>313</v>
      </c>
      <c r="B6" s="50" t="s">
        <v>314</v>
      </c>
      <c r="C6" s="50" t="s">
        <v>285</v>
      </c>
      <c r="E6" s="50" t="s">
        <v>11</v>
      </c>
      <c r="F6" s="50" t="s">
        <v>304</v>
      </c>
      <c r="G6" s="50" t="s">
        <v>315</v>
      </c>
      <c r="H6" s="50" t="s">
        <v>316</v>
      </c>
    </row>
    <row r="7">
      <c r="A7" s="50" t="s">
        <v>317</v>
      </c>
      <c r="B7" s="50" t="s">
        <v>318</v>
      </c>
      <c r="C7" s="50" t="s">
        <v>285</v>
      </c>
      <c r="E7" s="50" t="s">
        <v>11</v>
      </c>
      <c r="F7" s="50" t="s">
        <v>299</v>
      </c>
      <c r="G7" s="50" t="s">
        <v>300</v>
      </c>
      <c r="H7" s="50" t="s">
        <v>319</v>
      </c>
    </row>
    <row r="8">
      <c r="A8" s="50" t="s">
        <v>320</v>
      </c>
      <c r="B8" s="50" t="s">
        <v>321</v>
      </c>
      <c r="C8" s="50" t="s">
        <v>285</v>
      </c>
      <c r="E8" s="50" t="s">
        <v>11</v>
      </c>
      <c r="F8" s="50" t="s">
        <v>304</v>
      </c>
      <c r="G8" s="50" t="s">
        <v>300</v>
      </c>
      <c r="H8" s="50" t="s">
        <v>322</v>
      </c>
    </row>
    <row r="9">
      <c r="A9" s="50" t="s">
        <v>323</v>
      </c>
      <c r="B9" s="50" t="s">
        <v>324</v>
      </c>
      <c r="C9" s="50" t="s">
        <v>285</v>
      </c>
      <c r="E9" s="50" t="s">
        <v>11</v>
      </c>
      <c r="F9" s="50" t="s">
        <v>299</v>
      </c>
      <c r="G9" s="50" t="s">
        <v>300</v>
      </c>
      <c r="H9" s="50" t="s">
        <v>325</v>
      </c>
    </row>
    <row r="10">
      <c r="A10" s="50" t="s">
        <v>326</v>
      </c>
      <c r="B10" s="50" t="s">
        <v>327</v>
      </c>
      <c r="C10" s="50" t="s">
        <v>285</v>
      </c>
      <c r="E10" s="50" t="s">
        <v>11</v>
      </c>
      <c r="F10" s="50" t="s">
        <v>304</v>
      </c>
      <c r="G10" s="50" t="s">
        <v>300</v>
      </c>
      <c r="H10" s="50" t="s">
        <v>328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17.88"/>
    <col customWidth="1" min="3" max="3" width="12.13"/>
    <col customWidth="1" min="4" max="4" width="15.0"/>
    <col customWidth="1" min="5" max="5" width="16.25"/>
    <col customWidth="1" min="6" max="6" width="9.63"/>
    <col customWidth="1" min="7" max="7" width="14.25"/>
    <col customWidth="1" min="8" max="8" width="14.75"/>
    <col customWidth="1" min="9" max="9" width="11.88"/>
    <col customWidth="1" min="10" max="10" width="14.38"/>
  </cols>
  <sheetData>
    <row r="1">
      <c r="A1" s="2" t="s">
        <v>259</v>
      </c>
      <c r="B1" s="2" t="s">
        <v>329</v>
      </c>
      <c r="C1" s="2" t="s">
        <v>287</v>
      </c>
      <c r="D1" s="2" t="s">
        <v>330</v>
      </c>
      <c r="E1" s="2" t="s">
        <v>331</v>
      </c>
      <c r="F1" s="2" t="s">
        <v>332</v>
      </c>
      <c r="G1" s="2" t="s">
        <v>333</v>
      </c>
      <c r="H1" s="2" t="s">
        <v>334</v>
      </c>
      <c r="I1" s="2" t="s">
        <v>14</v>
      </c>
      <c r="J1" s="2" t="s">
        <v>13</v>
      </c>
    </row>
    <row r="2">
      <c r="A2" s="52">
        <f t="shared" ref="A2:A5" si="1">EOMONTH(TODAY(),-1)</f>
        <v>46234</v>
      </c>
      <c r="B2" s="10">
        <f>SUMIFS('📈 MONTHLY PERFORMANCE'!G:G, '📈 MONTHLY PERFORMANCE'!A:A, "&gt;="&amp;A2, '📈 MONTHLY PERFORMANCE'!A:A, "&lt;="&amp;EOMONTH(A2,0))</f>
        <v>0</v>
      </c>
      <c r="C2" s="50" t="s">
        <v>195</v>
      </c>
      <c r="D2" s="10" t="str">
        <f>VLOOKUP(C2, '👥 FOUNDERS'!A:H, 6, FALSE)</f>
        <v>#N/A</v>
      </c>
      <c r="E2" s="10" t="str">
        <f t="shared" ref="E2:E5" si="2">B2*D2</f>
        <v>#N/A</v>
      </c>
      <c r="F2" s="53">
        <v>0.0</v>
      </c>
      <c r="G2" s="43" t="str">
        <f t="shared" ref="G2:G5" si="3">E2+F2</f>
        <v>#N/A</v>
      </c>
      <c r="I2" s="50" t="s">
        <v>229</v>
      </c>
    </row>
    <row r="3">
      <c r="A3" s="52">
        <f t="shared" si="1"/>
        <v>46234</v>
      </c>
      <c r="B3" s="10">
        <f>SUMIFS('📈 MONTHLY PERFORMANCE'!G:G, '📈 MONTHLY PERFORMANCE'!A:A, "&gt;="&amp;A3, '📈 MONTHLY PERFORMANCE'!A:A, "&lt;="&amp;EOMONTH(A3,0))</f>
        <v>0</v>
      </c>
      <c r="C3" s="50" t="s">
        <v>231</v>
      </c>
      <c r="D3" s="10" t="str">
        <f>VLOOKUP(C3, '👥 FOUNDERS'!A:H, 6, FALSE)</f>
        <v>#N/A</v>
      </c>
      <c r="E3" s="10" t="str">
        <f t="shared" si="2"/>
        <v>#N/A</v>
      </c>
      <c r="F3" s="53">
        <v>0.0</v>
      </c>
      <c r="G3" s="43" t="str">
        <f t="shared" si="3"/>
        <v>#N/A</v>
      </c>
      <c r="I3" s="50" t="s">
        <v>229</v>
      </c>
    </row>
    <row r="4">
      <c r="A4" s="52">
        <f t="shared" si="1"/>
        <v>46234</v>
      </c>
      <c r="B4" s="10">
        <f>SUMIFS('📈 MONTHLY PERFORMANCE'!G:G, '📈 MONTHLY PERFORMANCE'!A:A, "&gt;="&amp;A4, '📈 MONTHLY PERFORMANCE'!A:A, "&lt;="&amp;EOMONTH(A4,0))</f>
        <v>0</v>
      </c>
      <c r="C4" s="50" t="s">
        <v>207</v>
      </c>
      <c r="D4" s="10" t="str">
        <f>VLOOKUP(C4, '👥 FOUNDERS'!A:H, 6, FALSE)</f>
        <v>#N/A</v>
      </c>
      <c r="E4" s="10" t="str">
        <f t="shared" si="2"/>
        <v>#N/A</v>
      </c>
      <c r="F4" s="53">
        <v>0.0</v>
      </c>
      <c r="G4" s="43" t="str">
        <f t="shared" si="3"/>
        <v>#N/A</v>
      </c>
      <c r="I4" s="50" t="s">
        <v>229</v>
      </c>
    </row>
    <row r="5">
      <c r="A5" s="52">
        <f t="shared" si="1"/>
        <v>46234</v>
      </c>
      <c r="B5" s="10">
        <f>SUMIFS('📈 MONTHLY PERFORMANCE'!G:G, '📈 MONTHLY PERFORMANCE'!A:A, "&gt;="&amp;A5, '📈 MONTHLY PERFORMANCE'!A:A, "&lt;="&amp;EOMONTH(A5,0))</f>
        <v>0</v>
      </c>
      <c r="C5" s="50" t="s">
        <v>290</v>
      </c>
      <c r="D5" s="10" t="str">
        <f>VLOOKUP(C5, '👥 FOUNDERS'!A:H, 6, FALSE)</f>
        <v>#N/A</v>
      </c>
      <c r="E5" s="10" t="str">
        <f t="shared" si="2"/>
        <v>#N/A</v>
      </c>
      <c r="F5" s="53">
        <v>0.0</v>
      </c>
      <c r="G5" s="43" t="str">
        <f t="shared" si="3"/>
        <v>#N/A</v>
      </c>
      <c r="I5" s="50" t="s">
        <v>229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8" width="26.5"/>
  </cols>
  <sheetData>
    <row r="1">
      <c r="A1" s="3" t="s">
        <v>118</v>
      </c>
      <c r="B1" s="3" t="s">
        <v>225</v>
      </c>
      <c r="C1" s="3" t="s">
        <v>335</v>
      </c>
      <c r="D1" s="3" t="s">
        <v>336</v>
      </c>
      <c r="E1" s="3" t="s">
        <v>337</v>
      </c>
      <c r="F1" s="3" t="s">
        <v>338</v>
      </c>
      <c r="G1" s="3" t="s">
        <v>339</v>
      </c>
      <c r="H1" s="3" t="s">
        <v>168</v>
      </c>
      <c r="I1" s="3" t="s">
        <v>14</v>
      </c>
      <c r="J1" s="3" t="s">
        <v>13</v>
      </c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33">
        <v>46235.0</v>
      </c>
      <c r="B2" s="9"/>
      <c r="C2" s="7"/>
      <c r="D2" s="9" t="s">
        <v>340</v>
      </c>
      <c r="E2" s="9">
        <v>12000.0</v>
      </c>
      <c r="F2" s="18"/>
      <c r="G2" s="18">
        <f t="shared" ref="G2:G1000" si="1">E2-F2
</f>
        <v>12000</v>
      </c>
      <c r="H2" s="7"/>
      <c r="I2" s="9" t="s">
        <v>229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33">
        <v>46245.0</v>
      </c>
      <c r="B3" s="9" t="s">
        <v>341</v>
      </c>
      <c r="C3" s="7"/>
      <c r="D3" s="9" t="s">
        <v>36</v>
      </c>
      <c r="E3" s="9">
        <v>5000.0</v>
      </c>
      <c r="F3" s="9">
        <v>5000.0</v>
      </c>
      <c r="G3" s="18">
        <f t="shared" si="1"/>
        <v>0</v>
      </c>
      <c r="H3" s="9" t="s">
        <v>172</v>
      </c>
      <c r="I3" s="9" t="s">
        <v>342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33">
        <v>46251.0</v>
      </c>
      <c r="B4" s="9" t="s">
        <v>343</v>
      </c>
      <c r="C4" s="7"/>
      <c r="D4" s="9" t="s">
        <v>36</v>
      </c>
      <c r="E4" s="9">
        <v>5000.0</v>
      </c>
      <c r="F4" s="7"/>
      <c r="G4" s="18">
        <f t="shared" si="1"/>
        <v>5000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>
      <c r="A5" s="7"/>
      <c r="B5" s="7"/>
      <c r="C5" s="7"/>
      <c r="D5" s="7"/>
      <c r="E5" s="7"/>
      <c r="F5" s="7"/>
      <c r="G5" s="18">
        <f t="shared" si="1"/>
        <v>0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>
      <c r="A6" s="7"/>
      <c r="B6" s="7"/>
      <c r="C6" s="7"/>
      <c r="D6" s="7"/>
      <c r="E6" s="7"/>
      <c r="F6" s="7"/>
      <c r="G6" s="18">
        <f t="shared" si="1"/>
        <v>0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>
      <c r="A7" s="7"/>
      <c r="B7" s="7"/>
      <c r="C7" s="7"/>
      <c r="D7" s="7"/>
      <c r="E7" s="7"/>
      <c r="F7" s="7"/>
      <c r="G7" s="18">
        <f t="shared" si="1"/>
        <v>0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>
      <c r="A8" s="7"/>
      <c r="B8" s="7"/>
      <c r="C8" s="7"/>
      <c r="D8" s="7"/>
      <c r="E8" s="7"/>
      <c r="F8" s="7"/>
      <c r="G8" s="18">
        <f t="shared" si="1"/>
        <v>0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>
      <c r="A9" s="7"/>
      <c r="B9" s="7"/>
      <c r="C9" s="7"/>
      <c r="D9" s="7"/>
      <c r="E9" s="7"/>
      <c r="F9" s="7"/>
      <c r="G9" s="18">
        <f t="shared" si="1"/>
        <v>0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>
      <c r="A10" s="7"/>
      <c r="B10" s="7"/>
      <c r="C10" s="7"/>
      <c r="D10" s="7"/>
      <c r="E10" s="7"/>
      <c r="F10" s="7"/>
      <c r="G10" s="18">
        <f t="shared" si="1"/>
        <v>0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>
      <c r="A11" s="7"/>
      <c r="B11" s="7"/>
      <c r="C11" s="7"/>
      <c r="D11" s="7"/>
      <c r="E11" s="7"/>
      <c r="F11" s="7"/>
      <c r="G11" s="18">
        <f t="shared" si="1"/>
        <v>0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>
      <c r="A12" s="7"/>
      <c r="B12" s="7"/>
      <c r="C12" s="7"/>
      <c r="D12" s="7"/>
      <c r="E12" s="7"/>
      <c r="F12" s="7"/>
      <c r="G12" s="18">
        <f t="shared" si="1"/>
        <v>0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>
      <c r="A13" s="7"/>
      <c r="B13" s="7"/>
      <c r="C13" s="7"/>
      <c r="D13" s="7"/>
      <c r="E13" s="7"/>
      <c r="F13" s="7"/>
      <c r="G13" s="18">
        <f t="shared" si="1"/>
        <v>0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>
      <c r="A14" s="7"/>
      <c r="B14" s="7"/>
      <c r="C14" s="7"/>
      <c r="D14" s="7"/>
      <c r="E14" s="7"/>
      <c r="F14" s="7"/>
      <c r="G14" s="18">
        <f t="shared" si="1"/>
        <v>0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>
      <c r="A15" s="7"/>
      <c r="B15" s="7"/>
      <c r="C15" s="7"/>
      <c r="D15" s="7"/>
      <c r="E15" s="7"/>
      <c r="F15" s="7"/>
      <c r="G15" s="18">
        <f t="shared" si="1"/>
        <v>0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>
      <c r="A16" s="7"/>
      <c r="B16" s="7"/>
      <c r="C16" s="7"/>
      <c r="D16" s="7"/>
      <c r="E16" s="7"/>
      <c r="F16" s="7"/>
      <c r="G16" s="18">
        <f t="shared" si="1"/>
        <v>0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>
      <c r="A17" s="7"/>
      <c r="B17" s="7"/>
      <c r="C17" s="7"/>
      <c r="D17" s="7"/>
      <c r="E17" s="7"/>
      <c r="F17" s="7"/>
      <c r="G17" s="18">
        <f t="shared" si="1"/>
        <v>0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>
      <c r="A18" s="7"/>
      <c r="B18" s="7"/>
      <c r="C18" s="7"/>
      <c r="D18" s="7"/>
      <c r="E18" s="7"/>
      <c r="F18" s="7"/>
      <c r="G18" s="18">
        <f t="shared" si="1"/>
        <v>0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>
      <c r="A19" s="7"/>
      <c r="B19" s="7"/>
      <c r="C19" s="7"/>
      <c r="D19" s="7"/>
      <c r="E19" s="7"/>
      <c r="F19" s="7"/>
      <c r="G19" s="18">
        <f t="shared" si="1"/>
        <v>0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>
      <c r="A20" s="7"/>
      <c r="B20" s="7"/>
      <c r="C20" s="7"/>
      <c r="D20" s="7"/>
      <c r="E20" s="7"/>
      <c r="F20" s="7"/>
      <c r="G20" s="18">
        <f t="shared" si="1"/>
        <v>0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>
      <c r="A21" s="7"/>
      <c r="B21" s="7"/>
      <c r="C21" s="7"/>
      <c r="D21" s="7"/>
      <c r="E21" s="7"/>
      <c r="F21" s="7"/>
      <c r="G21" s="18">
        <f t="shared" si="1"/>
        <v>0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>
      <c r="A22" s="7"/>
      <c r="B22" s="7"/>
      <c r="C22" s="7"/>
      <c r="D22" s="7"/>
      <c r="E22" s="7"/>
      <c r="F22" s="7"/>
      <c r="G22" s="18">
        <f t="shared" si="1"/>
        <v>0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>
      <c r="A23" s="7"/>
      <c r="B23" s="7"/>
      <c r="C23" s="7"/>
      <c r="D23" s="7"/>
      <c r="E23" s="7"/>
      <c r="F23" s="7"/>
      <c r="G23" s="18">
        <f t="shared" si="1"/>
        <v>0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>
      <c r="A24" s="7"/>
      <c r="B24" s="7"/>
      <c r="C24" s="7"/>
      <c r="D24" s="7"/>
      <c r="E24" s="7"/>
      <c r="F24" s="7"/>
      <c r="G24" s="18">
        <f t="shared" si="1"/>
        <v>0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>
      <c r="A25" s="7"/>
      <c r="B25" s="7"/>
      <c r="C25" s="7"/>
      <c r="D25" s="7"/>
      <c r="E25" s="7"/>
      <c r="F25" s="7"/>
      <c r="G25" s="18">
        <f t="shared" si="1"/>
        <v>0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>
      <c r="A26" s="7"/>
      <c r="B26" s="7"/>
      <c r="C26" s="7"/>
      <c r="D26" s="7"/>
      <c r="E26" s="7"/>
      <c r="F26" s="7"/>
      <c r="G26" s="18">
        <f t="shared" si="1"/>
        <v>0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>
      <c r="A27" s="7"/>
      <c r="B27" s="7"/>
      <c r="C27" s="7"/>
      <c r="D27" s="7"/>
      <c r="E27" s="7"/>
      <c r="F27" s="7"/>
      <c r="G27" s="18">
        <f t="shared" si="1"/>
        <v>0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>
      <c r="A28" s="7"/>
      <c r="B28" s="7"/>
      <c r="C28" s="7"/>
      <c r="D28" s="7"/>
      <c r="E28" s="7"/>
      <c r="F28" s="7"/>
      <c r="G28" s="18">
        <f t="shared" si="1"/>
        <v>0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>
      <c r="A29" s="7"/>
      <c r="B29" s="7"/>
      <c r="C29" s="7"/>
      <c r="D29" s="7"/>
      <c r="E29" s="7"/>
      <c r="F29" s="7"/>
      <c r="G29" s="18">
        <f t="shared" si="1"/>
        <v>0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>
      <c r="A30" s="7"/>
      <c r="B30" s="7"/>
      <c r="C30" s="7"/>
      <c r="D30" s="7"/>
      <c r="E30" s="7"/>
      <c r="F30" s="7"/>
      <c r="G30" s="18">
        <f t="shared" si="1"/>
        <v>0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>
      <c r="A31" s="7"/>
      <c r="B31" s="7"/>
      <c r="C31" s="7"/>
      <c r="D31" s="7"/>
      <c r="E31" s="7"/>
      <c r="F31" s="7"/>
      <c r="G31" s="18">
        <f t="shared" si="1"/>
        <v>0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>
      <c r="A32" s="7"/>
      <c r="B32" s="7"/>
      <c r="C32" s="7"/>
      <c r="D32" s="7"/>
      <c r="E32" s="7"/>
      <c r="F32" s="7"/>
      <c r="G32" s="18">
        <f t="shared" si="1"/>
        <v>0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>
      <c r="A33" s="7"/>
      <c r="B33" s="7"/>
      <c r="C33" s="7"/>
      <c r="D33" s="7"/>
      <c r="E33" s="7"/>
      <c r="F33" s="7"/>
      <c r="G33" s="18">
        <f t="shared" si="1"/>
        <v>0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>
      <c r="A34" s="7"/>
      <c r="B34" s="7"/>
      <c r="C34" s="7"/>
      <c r="D34" s="7"/>
      <c r="E34" s="7"/>
      <c r="F34" s="7"/>
      <c r="G34" s="18">
        <f t="shared" si="1"/>
        <v>0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>
      <c r="A35" s="7"/>
      <c r="B35" s="7"/>
      <c r="C35" s="7"/>
      <c r="D35" s="7"/>
      <c r="E35" s="7"/>
      <c r="F35" s="7"/>
      <c r="G35" s="18">
        <f t="shared" si="1"/>
        <v>0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>
      <c r="A36" s="7"/>
      <c r="B36" s="7"/>
      <c r="C36" s="7"/>
      <c r="D36" s="7"/>
      <c r="E36" s="7"/>
      <c r="F36" s="7"/>
      <c r="G36" s="18">
        <f t="shared" si="1"/>
        <v>0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>
      <c r="A37" s="7"/>
      <c r="B37" s="7"/>
      <c r="C37" s="7"/>
      <c r="D37" s="7"/>
      <c r="E37" s="7"/>
      <c r="F37" s="7"/>
      <c r="G37" s="18">
        <f t="shared" si="1"/>
        <v>0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>
      <c r="A38" s="7"/>
      <c r="B38" s="7"/>
      <c r="C38" s="7"/>
      <c r="D38" s="7"/>
      <c r="E38" s="7"/>
      <c r="F38" s="7"/>
      <c r="G38" s="18">
        <f t="shared" si="1"/>
        <v>0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>
      <c r="A39" s="7"/>
      <c r="B39" s="7"/>
      <c r="C39" s="7"/>
      <c r="D39" s="7"/>
      <c r="E39" s="7"/>
      <c r="F39" s="7"/>
      <c r="G39" s="18">
        <f t="shared" si="1"/>
        <v>0</v>
      </c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>
      <c r="A40" s="7"/>
      <c r="B40" s="7"/>
      <c r="C40" s="7"/>
      <c r="D40" s="7"/>
      <c r="E40" s="7"/>
      <c r="F40" s="7"/>
      <c r="G40" s="18">
        <f t="shared" si="1"/>
        <v>0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>
      <c r="A41" s="7"/>
      <c r="B41" s="7"/>
      <c r="C41" s="7"/>
      <c r="D41" s="7"/>
      <c r="E41" s="7"/>
      <c r="F41" s="7"/>
      <c r="G41" s="18">
        <f t="shared" si="1"/>
        <v>0</v>
      </c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>
      <c r="A42" s="7"/>
      <c r="B42" s="7"/>
      <c r="C42" s="7"/>
      <c r="D42" s="7"/>
      <c r="E42" s="7"/>
      <c r="F42" s="7"/>
      <c r="G42" s="18">
        <f t="shared" si="1"/>
        <v>0</v>
      </c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>
      <c r="A43" s="7"/>
      <c r="B43" s="7"/>
      <c r="C43" s="7"/>
      <c r="D43" s="7"/>
      <c r="E43" s="7"/>
      <c r="F43" s="7"/>
      <c r="G43" s="18">
        <f t="shared" si="1"/>
        <v>0</v>
      </c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>
      <c r="A44" s="7"/>
      <c r="B44" s="7"/>
      <c r="C44" s="7"/>
      <c r="D44" s="7"/>
      <c r="E44" s="7"/>
      <c r="F44" s="7"/>
      <c r="G44" s="18">
        <f t="shared" si="1"/>
        <v>0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>
      <c r="A45" s="7"/>
      <c r="B45" s="7"/>
      <c r="C45" s="7"/>
      <c r="D45" s="7"/>
      <c r="E45" s="7"/>
      <c r="F45" s="7"/>
      <c r="G45" s="18">
        <f t="shared" si="1"/>
        <v>0</v>
      </c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>
      <c r="A46" s="7"/>
      <c r="B46" s="7"/>
      <c r="C46" s="7"/>
      <c r="D46" s="7"/>
      <c r="E46" s="7"/>
      <c r="F46" s="7"/>
      <c r="G46" s="18">
        <f t="shared" si="1"/>
        <v>0</v>
      </c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>
      <c r="A47" s="7"/>
      <c r="B47" s="7"/>
      <c r="C47" s="7"/>
      <c r="D47" s="7"/>
      <c r="E47" s="7"/>
      <c r="F47" s="7"/>
      <c r="G47" s="18">
        <f t="shared" si="1"/>
        <v>0</v>
      </c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>
      <c r="A48" s="7"/>
      <c r="B48" s="7"/>
      <c r="C48" s="7"/>
      <c r="D48" s="7"/>
      <c r="E48" s="7"/>
      <c r="F48" s="7"/>
      <c r="G48" s="18">
        <f t="shared" si="1"/>
        <v>0</v>
      </c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>
      <c r="A49" s="7"/>
      <c r="B49" s="7"/>
      <c r="C49" s="7"/>
      <c r="D49" s="7"/>
      <c r="E49" s="7"/>
      <c r="F49" s="7"/>
      <c r="G49" s="18">
        <f t="shared" si="1"/>
        <v>0</v>
      </c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>
      <c r="A50" s="7"/>
      <c r="B50" s="7"/>
      <c r="C50" s="7"/>
      <c r="D50" s="7"/>
      <c r="E50" s="7"/>
      <c r="F50" s="7"/>
      <c r="G50" s="18">
        <f t="shared" si="1"/>
        <v>0</v>
      </c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>
      <c r="A51" s="7"/>
      <c r="B51" s="7"/>
      <c r="C51" s="7"/>
      <c r="D51" s="7"/>
      <c r="E51" s="7"/>
      <c r="F51" s="7"/>
      <c r="G51" s="18">
        <f t="shared" si="1"/>
        <v>0</v>
      </c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>
      <c r="A52" s="7"/>
      <c r="B52" s="7"/>
      <c r="C52" s="7"/>
      <c r="D52" s="7"/>
      <c r="E52" s="7"/>
      <c r="F52" s="7"/>
      <c r="G52" s="18">
        <f t="shared" si="1"/>
        <v>0</v>
      </c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>
      <c r="A53" s="7"/>
      <c r="B53" s="7"/>
      <c r="C53" s="7"/>
      <c r="D53" s="7"/>
      <c r="E53" s="7"/>
      <c r="F53" s="7"/>
      <c r="G53" s="18">
        <f t="shared" si="1"/>
        <v>0</v>
      </c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>
      <c r="A54" s="7"/>
      <c r="B54" s="7"/>
      <c r="C54" s="7"/>
      <c r="D54" s="7"/>
      <c r="E54" s="7"/>
      <c r="F54" s="7"/>
      <c r="G54" s="18">
        <f t="shared" si="1"/>
        <v>0</v>
      </c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>
      <c r="A55" s="7"/>
      <c r="B55" s="7"/>
      <c r="C55" s="7"/>
      <c r="D55" s="7"/>
      <c r="E55" s="7"/>
      <c r="F55" s="7"/>
      <c r="G55" s="18">
        <f t="shared" si="1"/>
        <v>0</v>
      </c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>
      <c r="A56" s="7"/>
      <c r="B56" s="7"/>
      <c r="C56" s="7"/>
      <c r="D56" s="7"/>
      <c r="E56" s="7"/>
      <c r="F56" s="7"/>
      <c r="G56" s="18">
        <f t="shared" si="1"/>
        <v>0</v>
      </c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>
      <c r="A57" s="7"/>
      <c r="B57" s="7"/>
      <c r="C57" s="7"/>
      <c r="D57" s="7"/>
      <c r="E57" s="7"/>
      <c r="F57" s="7"/>
      <c r="G57" s="18">
        <f t="shared" si="1"/>
        <v>0</v>
      </c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>
      <c r="A58" s="7"/>
      <c r="B58" s="7"/>
      <c r="C58" s="7"/>
      <c r="D58" s="7"/>
      <c r="E58" s="7"/>
      <c r="F58" s="7"/>
      <c r="G58" s="18">
        <f t="shared" si="1"/>
        <v>0</v>
      </c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>
      <c r="A59" s="7"/>
      <c r="B59" s="7"/>
      <c r="C59" s="7"/>
      <c r="D59" s="7"/>
      <c r="E59" s="7"/>
      <c r="F59" s="7"/>
      <c r="G59" s="18">
        <f t="shared" si="1"/>
        <v>0</v>
      </c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>
      <c r="A60" s="7"/>
      <c r="B60" s="7"/>
      <c r="C60" s="7"/>
      <c r="D60" s="7"/>
      <c r="E60" s="7"/>
      <c r="F60" s="7"/>
      <c r="G60" s="18">
        <f t="shared" si="1"/>
        <v>0</v>
      </c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>
      <c r="A61" s="7"/>
      <c r="B61" s="7"/>
      <c r="C61" s="7"/>
      <c r="D61" s="7"/>
      <c r="E61" s="7"/>
      <c r="F61" s="7"/>
      <c r="G61" s="18">
        <f t="shared" si="1"/>
        <v>0</v>
      </c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>
      <c r="A62" s="7"/>
      <c r="B62" s="7"/>
      <c r="C62" s="7"/>
      <c r="D62" s="7"/>
      <c r="E62" s="7"/>
      <c r="F62" s="7"/>
      <c r="G62" s="18">
        <f t="shared" si="1"/>
        <v>0</v>
      </c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>
      <c r="A63" s="7"/>
      <c r="B63" s="7"/>
      <c r="C63" s="7"/>
      <c r="D63" s="7"/>
      <c r="E63" s="7"/>
      <c r="F63" s="7"/>
      <c r="G63" s="18">
        <f t="shared" si="1"/>
        <v>0</v>
      </c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>
      <c r="A64" s="7"/>
      <c r="B64" s="7"/>
      <c r="C64" s="7"/>
      <c r="D64" s="7"/>
      <c r="E64" s="7"/>
      <c r="F64" s="7"/>
      <c r="G64" s="18">
        <f t="shared" si="1"/>
        <v>0</v>
      </c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>
      <c r="A65" s="7"/>
      <c r="B65" s="7"/>
      <c r="C65" s="7"/>
      <c r="D65" s="7"/>
      <c r="E65" s="7"/>
      <c r="F65" s="7"/>
      <c r="G65" s="18">
        <f t="shared" si="1"/>
        <v>0</v>
      </c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>
      <c r="A66" s="7"/>
      <c r="B66" s="7"/>
      <c r="C66" s="7"/>
      <c r="D66" s="7"/>
      <c r="E66" s="7"/>
      <c r="F66" s="7"/>
      <c r="G66" s="18">
        <f t="shared" si="1"/>
        <v>0</v>
      </c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>
      <c r="A67" s="7"/>
      <c r="B67" s="7"/>
      <c r="C67" s="7"/>
      <c r="D67" s="7"/>
      <c r="E67" s="7"/>
      <c r="F67" s="7"/>
      <c r="G67" s="18">
        <f t="shared" si="1"/>
        <v>0</v>
      </c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>
      <c r="A68" s="7"/>
      <c r="B68" s="7"/>
      <c r="C68" s="7"/>
      <c r="D68" s="7"/>
      <c r="E68" s="7"/>
      <c r="F68" s="7"/>
      <c r="G68" s="18">
        <f t="shared" si="1"/>
        <v>0</v>
      </c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>
      <c r="A69" s="7"/>
      <c r="B69" s="7"/>
      <c r="C69" s="7"/>
      <c r="D69" s="7"/>
      <c r="E69" s="7"/>
      <c r="F69" s="7"/>
      <c r="G69" s="18">
        <f t="shared" si="1"/>
        <v>0</v>
      </c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>
      <c r="A70" s="7"/>
      <c r="B70" s="7"/>
      <c r="C70" s="7"/>
      <c r="D70" s="7"/>
      <c r="E70" s="7"/>
      <c r="F70" s="7"/>
      <c r="G70" s="18">
        <f t="shared" si="1"/>
        <v>0</v>
      </c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>
      <c r="A71" s="7"/>
      <c r="B71" s="7"/>
      <c r="C71" s="7"/>
      <c r="D71" s="7"/>
      <c r="E71" s="7"/>
      <c r="F71" s="7"/>
      <c r="G71" s="18">
        <f t="shared" si="1"/>
        <v>0</v>
      </c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>
      <c r="A72" s="7"/>
      <c r="B72" s="7"/>
      <c r="C72" s="7"/>
      <c r="D72" s="7"/>
      <c r="E72" s="7"/>
      <c r="F72" s="7"/>
      <c r="G72" s="18">
        <f t="shared" si="1"/>
        <v>0</v>
      </c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>
      <c r="A73" s="7"/>
      <c r="B73" s="7"/>
      <c r="C73" s="7"/>
      <c r="D73" s="7"/>
      <c r="E73" s="7"/>
      <c r="F73" s="7"/>
      <c r="G73" s="18">
        <f t="shared" si="1"/>
        <v>0</v>
      </c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>
      <c r="A74" s="7"/>
      <c r="B74" s="7"/>
      <c r="C74" s="7"/>
      <c r="D74" s="7"/>
      <c r="E74" s="7"/>
      <c r="F74" s="7"/>
      <c r="G74" s="18">
        <f t="shared" si="1"/>
        <v>0</v>
      </c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>
      <c r="A75" s="7"/>
      <c r="B75" s="7"/>
      <c r="C75" s="7"/>
      <c r="D75" s="7"/>
      <c r="E75" s="7"/>
      <c r="F75" s="7"/>
      <c r="G75" s="18">
        <f t="shared" si="1"/>
        <v>0</v>
      </c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>
      <c r="A76" s="7"/>
      <c r="B76" s="7"/>
      <c r="C76" s="7"/>
      <c r="D76" s="7"/>
      <c r="E76" s="7"/>
      <c r="F76" s="7"/>
      <c r="G76" s="18">
        <f t="shared" si="1"/>
        <v>0</v>
      </c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>
      <c r="A77" s="7"/>
      <c r="B77" s="7"/>
      <c r="C77" s="7"/>
      <c r="D77" s="7"/>
      <c r="E77" s="7"/>
      <c r="F77" s="7"/>
      <c r="G77" s="18">
        <f t="shared" si="1"/>
        <v>0</v>
      </c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>
      <c r="A78" s="7"/>
      <c r="B78" s="7"/>
      <c r="C78" s="7"/>
      <c r="D78" s="7"/>
      <c r="E78" s="7"/>
      <c r="F78" s="7"/>
      <c r="G78" s="18">
        <f t="shared" si="1"/>
        <v>0</v>
      </c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>
      <c r="A79" s="7"/>
      <c r="B79" s="7"/>
      <c r="C79" s="7"/>
      <c r="D79" s="7"/>
      <c r="E79" s="7"/>
      <c r="F79" s="7"/>
      <c r="G79" s="18">
        <f t="shared" si="1"/>
        <v>0</v>
      </c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>
      <c r="A80" s="7"/>
      <c r="B80" s="7"/>
      <c r="C80" s="7"/>
      <c r="D80" s="7"/>
      <c r="E80" s="7"/>
      <c r="F80" s="7"/>
      <c r="G80" s="18">
        <f t="shared" si="1"/>
        <v>0</v>
      </c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>
      <c r="A81" s="7"/>
      <c r="B81" s="7"/>
      <c r="C81" s="7"/>
      <c r="D81" s="7"/>
      <c r="E81" s="7"/>
      <c r="F81" s="7"/>
      <c r="G81" s="18">
        <f t="shared" si="1"/>
        <v>0</v>
      </c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>
      <c r="A82" s="7"/>
      <c r="B82" s="7"/>
      <c r="C82" s="7"/>
      <c r="D82" s="7"/>
      <c r="E82" s="7"/>
      <c r="F82" s="7"/>
      <c r="G82" s="18">
        <f t="shared" si="1"/>
        <v>0</v>
      </c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>
      <c r="A83" s="7"/>
      <c r="B83" s="7"/>
      <c r="C83" s="7"/>
      <c r="D83" s="7"/>
      <c r="E83" s="7"/>
      <c r="F83" s="7"/>
      <c r="G83" s="18">
        <f t="shared" si="1"/>
        <v>0</v>
      </c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>
      <c r="A84" s="7"/>
      <c r="B84" s="7"/>
      <c r="C84" s="7"/>
      <c r="D84" s="7"/>
      <c r="E84" s="7"/>
      <c r="F84" s="7"/>
      <c r="G84" s="18">
        <f t="shared" si="1"/>
        <v>0</v>
      </c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>
      <c r="A85" s="7"/>
      <c r="B85" s="7"/>
      <c r="C85" s="7"/>
      <c r="D85" s="7"/>
      <c r="E85" s="7"/>
      <c r="F85" s="7"/>
      <c r="G85" s="18">
        <f t="shared" si="1"/>
        <v>0</v>
      </c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>
      <c r="A86" s="7"/>
      <c r="B86" s="7"/>
      <c r="C86" s="7"/>
      <c r="D86" s="7"/>
      <c r="E86" s="7"/>
      <c r="F86" s="7"/>
      <c r="G86" s="18">
        <f t="shared" si="1"/>
        <v>0</v>
      </c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>
      <c r="A87" s="7"/>
      <c r="B87" s="7"/>
      <c r="C87" s="7"/>
      <c r="D87" s="7"/>
      <c r="E87" s="7"/>
      <c r="F87" s="7"/>
      <c r="G87" s="18">
        <f t="shared" si="1"/>
        <v>0</v>
      </c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>
      <c r="A88" s="7"/>
      <c r="B88" s="7"/>
      <c r="C88" s="7"/>
      <c r="D88" s="7"/>
      <c r="E88" s="7"/>
      <c r="F88" s="7"/>
      <c r="G88" s="18">
        <f t="shared" si="1"/>
        <v>0</v>
      </c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>
      <c r="A89" s="7"/>
      <c r="B89" s="7"/>
      <c r="C89" s="7"/>
      <c r="D89" s="7"/>
      <c r="E89" s="7"/>
      <c r="F89" s="7"/>
      <c r="G89" s="18">
        <f t="shared" si="1"/>
        <v>0</v>
      </c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>
      <c r="A90" s="7"/>
      <c r="B90" s="7"/>
      <c r="C90" s="7"/>
      <c r="D90" s="7"/>
      <c r="E90" s="7"/>
      <c r="F90" s="7"/>
      <c r="G90" s="18">
        <f t="shared" si="1"/>
        <v>0</v>
      </c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>
      <c r="A91" s="7"/>
      <c r="B91" s="7"/>
      <c r="C91" s="7"/>
      <c r="D91" s="7"/>
      <c r="E91" s="7"/>
      <c r="F91" s="7"/>
      <c r="G91" s="18">
        <f t="shared" si="1"/>
        <v>0</v>
      </c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>
      <c r="A92" s="7"/>
      <c r="B92" s="7"/>
      <c r="C92" s="7"/>
      <c r="D92" s="7"/>
      <c r="E92" s="7"/>
      <c r="F92" s="7"/>
      <c r="G92" s="18">
        <f t="shared" si="1"/>
        <v>0</v>
      </c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>
      <c r="A93" s="7"/>
      <c r="B93" s="7"/>
      <c r="C93" s="7"/>
      <c r="D93" s="7"/>
      <c r="E93" s="7"/>
      <c r="F93" s="7"/>
      <c r="G93" s="18">
        <f t="shared" si="1"/>
        <v>0</v>
      </c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>
      <c r="A94" s="7"/>
      <c r="B94" s="7"/>
      <c r="C94" s="7"/>
      <c r="D94" s="7"/>
      <c r="E94" s="7"/>
      <c r="F94" s="7"/>
      <c r="G94" s="18">
        <f t="shared" si="1"/>
        <v>0</v>
      </c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7"/>
      <c r="B95" s="7"/>
      <c r="C95" s="7"/>
      <c r="D95" s="7"/>
      <c r="E95" s="7"/>
      <c r="F95" s="7"/>
      <c r="G95" s="18">
        <f t="shared" si="1"/>
        <v>0</v>
      </c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7"/>
      <c r="B96" s="7"/>
      <c r="C96" s="7"/>
      <c r="D96" s="7"/>
      <c r="E96" s="7"/>
      <c r="F96" s="7"/>
      <c r="G96" s="18">
        <f t="shared" si="1"/>
        <v>0</v>
      </c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7"/>
      <c r="B97" s="7"/>
      <c r="C97" s="7"/>
      <c r="D97" s="7"/>
      <c r="E97" s="7"/>
      <c r="F97" s="7"/>
      <c r="G97" s="18">
        <f t="shared" si="1"/>
        <v>0</v>
      </c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7"/>
      <c r="B98" s="7"/>
      <c r="C98" s="7"/>
      <c r="D98" s="7"/>
      <c r="E98" s="7"/>
      <c r="F98" s="7"/>
      <c r="G98" s="18">
        <f t="shared" si="1"/>
        <v>0</v>
      </c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7"/>
      <c r="B99" s="7"/>
      <c r="C99" s="7"/>
      <c r="D99" s="7"/>
      <c r="E99" s="7"/>
      <c r="F99" s="7"/>
      <c r="G99" s="18">
        <f t="shared" si="1"/>
        <v>0</v>
      </c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7"/>
      <c r="B100" s="7"/>
      <c r="C100" s="7"/>
      <c r="D100" s="7"/>
      <c r="E100" s="7"/>
      <c r="F100" s="7"/>
      <c r="G100" s="18">
        <f t="shared" si="1"/>
        <v>0</v>
      </c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7"/>
      <c r="B101" s="7"/>
      <c r="C101" s="7"/>
      <c r="D101" s="7"/>
      <c r="E101" s="7"/>
      <c r="F101" s="7"/>
      <c r="G101" s="18">
        <f t="shared" si="1"/>
        <v>0</v>
      </c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7"/>
      <c r="B102" s="7"/>
      <c r="C102" s="7"/>
      <c r="D102" s="7"/>
      <c r="E102" s="7"/>
      <c r="F102" s="7"/>
      <c r="G102" s="18">
        <f t="shared" si="1"/>
        <v>0</v>
      </c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7"/>
      <c r="B103" s="7"/>
      <c r="C103" s="7"/>
      <c r="D103" s="7"/>
      <c r="E103" s="7"/>
      <c r="F103" s="7"/>
      <c r="G103" s="18">
        <f t="shared" si="1"/>
        <v>0</v>
      </c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7"/>
      <c r="B104" s="7"/>
      <c r="C104" s="7"/>
      <c r="D104" s="7"/>
      <c r="E104" s="7"/>
      <c r="F104" s="7"/>
      <c r="G104" s="18">
        <f t="shared" si="1"/>
        <v>0</v>
      </c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7"/>
      <c r="B105" s="7"/>
      <c r="C105" s="7"/>
      <c r="D105" s="7"/>
      <c r="E105" s="7"/>
      <c r="F105" s="7"/>
      <c r="G105" s="18">
        <f t="shared" si="1"/>
        <v>0</v>
      </c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7"/>
      <c r="B106" s="7"/>
      <c r="C106" s="7"/>
      <c r="D106" s="7"/>
      <c r="E106" s="7"/>
      <c r="F106" s="7"/>
      <c r="G106" s="18">
        <f t="shared" si="1"/>
        <v>0</v>
      </c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7"/>
      <c r="B107" s="7"/>
      <c r="C107" s="7"/>
      <c r="D107" s="7"/>
      <c r="E107" s="7"/>
      <c r="F107" s="7"/>
      <c r="G107" s="18">
        <f t="shared" si="1"/>
        <v>0</v>
      </c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7"/>
      <c r="B108" s="7"/>
      <c r="C108" s="7"/>
      <c r="D108" s="7"/>
      <c r="E108" s="7"/>
      <c r="F108" s="7"/>
      <c r="G108" s="18">
        <f t="shared" si="1"/>
        <v>0</v>
      </c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7"/>
      <c r="B109" s="7"/>
      <c r="C109" s="7"/>
      <c r="D109" s="7"/>
      <c r="E109" s="7"/>
      <c r="F109" s="7"/>
      <c r="G109" s="18">
        <f t="shared" si="1"/>
        <v>0</v>
      </c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7"/>
      <c r="B110" s="7"/>
      <c r="C110" s="7"/>
      <c r="D110" s="7"/>
      <c r="E110" s="7"/>
      <c r="F110" s="7"/>
      <c r="G110" s="18">
        <f t="shared" si="1"/>
        <v>0</v>
      </c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7"/>
      <c r="B111" s="7"/>
      <c r="C111" s="7"/>
      <c r="D111" s="7"/>
      <c r="E111" s="7"/>
      <c r="F111" s="7"/>
      <c r="G111" s="18">
        <f t="shared" si="1"/>
        <v>0</v>
      </c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7"/>
      <c r="B112" s="7"/>
      <c r="C112" s="7"/>
      <c r="D112" s="7"/>
      <c r="E112" s="7"/>
      <c r="F112" s="7"/>
      <c r="G112" s="18">
        <f t="shared" si="1"/>
        <v>0</v>
      </c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7"/>
      <c r="B113" s="7"/>
      <c r="C113" s="7"/>
      <c r="D113" s="7"/>
      <c r="E113" s="7"/>
      <c r="F113" s="7"/>
      <c r="G113" s="18">
        <f t="shared" si="1"/>
        <v>0</v>
      </c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7"/>
      <c r="B114" s="7"/>
      <c r="C114" s="7"/>
      <c r="D114" s="7"/>
      <c r="E114" s="7"/>
      <c r="F114" s="7"/>
      <c r="G114" s="18">
        <f t="shared" si="1"/>
        <v>0</v>
      </c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7"/>
      <c r="B115" s="7"/>
      <c r="C115" s="7"/>
      <c r="D115" s="7"/>
      <c r="E115" s="7"/>
      <c r="F115" s="7"/>
      <c r="G115" s="18">
        <f t="shared" si="1"/>
        <v>0</v>
      </c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7"/>
      <c r="B116" s="7"/>
      <c r="C116" s="7"/>
      <c r="D116" s="7"/>
      <c r="E116" s="7"/>
      <c r="F116" s="7"/>
      <c r="G116" s="18">
        <f t="shared" si="1"/>
        <v>0</v>
      </c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7"/>
      <c r="B117" s="7"/>
      <c r="C117" s="7"/>
      <c r="D117" s="7"/>
      <c r="E117" s="7"/>
      <c r="F117" s="7"/>
      <c r="G117" s="18">
        <f t="shared" si="1"/>
        <v>0</v>
      </c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7"/>
      <c r="B118" s="7"/>
      <c r="C118" s="7"/>
      <c r="D118" s="7"/>
      <c r="E118" s="7"/>
      <c r="F118" s="7"/>
      <c r="G118" s="18">
        <f t="shared" si="1"/>
        <v>0</v>
      </c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7"/>
      <c r="B119" s="7"/>
      <c r="C119" s="7"/>
      <c r="D119" s="7"/>
      <c r="E119" s="7"/>
      <c r="F119" s="7"/>
      <c r="G119" s="18">
        <f t="shared" si="1"/>
        <v>0</v>
      </c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7"/>
      <c r="B120" s="7"/>
      <c r="C120" s="7"/>
      <c r="D120" s="7"/>
      <c r="E120" s="7"/>
      <c r="F120" s="7"/>
      <c r="G120" s="18">
        <f t="shared" si="1"/>
        <v>0</v>
      </c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7"/>
      <c r="B121" s="7"/>
      <c r="C121" s="7"/>
      <c r="D121" s="7"/>
      <c r="E121" s="7"/>
      <c r="F121" s="7"/>
      <c r="G121" s="18">
        <f t="shared" si="1"/>
        <v>0</v>
      </c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7"/>
      <c r="B122" s="7"/>
      <c r="C122" s="7"/>
      <c r="D122" s="7"/>
      <c r="E122" s="7"/>
      <c r="F122" s="7"/>
      <c r="G122" s="18">
        <f t="shared" si="1"/>
        <v>0</v>
      </c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7"/>
      <c r="B123" s="7"/>
      <c r="C123" s="7"/>
      <c r="D123" s="7"/>
      <c r="E123" s="7"/>
      <c r="F123" s="7"/>
      <c r="G123" s="18">
        <f t="shared" si="1"/>
        <v>0</v>
      </c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7"/>
      <c r="B124" s="7"/>
      <c r="C124" s="7"/>
      <c r="D124" s="7"/>
      <c r="E124" s="7"/>
      <c r="F124" s="7"/>
      <c r="G124" s="18">
        <f t="shared" si="1"/>
        <v>0</v>
      </c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7"/>
      <c r="B125" s="7"/>
      <c r="C125" s="7"/>
      <c r="D125" s="7"/>
      <c r="E125" s="7"/>
      <c r="F125" s="7"/>
      <c r="G125" s="18">
        <f t="shared" si="1"/>
        <v>0</v>
      </c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7"/>
      <c r="B126" s="7"/>
      <c r="C126" s="7"/>
      <c r="D126" s="7"/>
      <c r="E126" s="7"/>
      <c r="F126" s="7"/>
      <c r="G126" s="18">
        <f t="shared" si="1"/>
        <v>0</v>
      </c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7"/>
      <c r="B127" s="7"/>
      <c r="C127" s="7"/>
      <c r="D127" s="7"/>
      <c r="E127" s="7"/>
      <c r="F127" s="7"/>
      <c r="G127" s="18">
        <f t="shared" si="1"/>
        <v>0</v>
      </c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7"/>
      <c r="B128" s="7"/>
      <c r="C128" s="7"/>
      <c r="D128" s="7"/>
      <c r="E128" s="7"/>
      <c r="F128" s="7"/>
      <c r="G128" s="18">
        <f t="shared" si="1"/>
        <v>0</v>
      </c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7"/>
      <c r="B129" s="7"/>
      <c r="C129" s="7"/>
      <c r="D129" s="7"/>
      <c r="E129" s="7"/>
      <c r="F129" s="7"/>
      <c r="G129" s="18">
        <f t="shared" si="1"/>
        <v>0</v>
      </c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7"/>
      <c r="B130" s="7"/>
      <c r="C130" s="7"/>
      <c r="D130" s="7"/>
      <c r="E130" s="7"/>
      <c r="F130" s="7"/>
      <c r="G130" s="18">
        <f t="shared" si="1"/>
        <v>0</v>
      </c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7"/>
      <c r="B131" s="7"/>
      <c r="C131" s="7"/>
      <c r="D131" s="7"/>
      <c r="E131" s="7"/>
      <c r="F131" s="7"/>
      <c r="G131" s="18">
        <f t="shared" si="1"/>
        <v>0</v>
      </c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7"/>
      <c r="B132" s="7"/>
      <c r="C132" s="7"/>
      <c r="D132" s="7"/>
      <c r="E132" s="7"/>
      <c r="F132" s="7"/>
      <c r="G132" s="18">
        <f t="shared" si="1"/>
        <v>0</v>
      </c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7"/>
      <c r="B133" s="7"/>
      <c r="C133" s="7"/>
      <c r="D133" s="7"/>
      <c r="E133" s="7"/>
      <c r="F133" s="7"/>
      <c r="G133" s="18">
        <f t="shared" si="1"/>
        <v>0</v>
      </c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7"/>
      <c r="B134" s="7"/>
      <c r="C134" s="7"/>
      <c r="D134" s="7"/>
      <c r="E134" s="7"/>
      <c r="F134" s="7"/>
      <c r="G134" s="18">
        <f t="shared" si="1"/>
        <v>0</v>
      </c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7"/>
      <c r="B135" s="7"/>
      <c r="C135" s="7"/>
      <c r="D135" s="7"/>
      <c r="E135" s="7"/>
      <c r="F135" s="7"/>
      <c r="G135" s="18">
        <f t="shared" si="1"/>
        <v>0</v>
      </c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7"/>
      <c r="B136" s="7"/>
      <c r="C136" s="7"/>
      <c r="D136" s="7"/>
      <c r="E136" s="7"/>
      <c r="F136" s="7"/>
      <c r="G136" s="18">
        <f t="shared" si="1"/>
        <v>0</v>
      </c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7"/>
      <c r="B137" s="7"/>
      <c r="C137" s="7"/>
      <c r="D137" s="7"/>
      <c r="E137" s="7"/>
      <c r="F137" s="7"/>
      <c r="G137" s="18">
        <f t="shared" si="1"/>
        <v>0</v>
      </c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7"/>
      <c r="B138" s="7"/>
      <c r="C138" s="7"/>
      <c r="D138" s="7"/>
      <c r="E138" s="7"/>
      <c r="F138" s="7"/>
      <c r="G138" s="18">
        <f t="shared" si="1"/>
        <v>0</v>
      </c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7"/>
      <c r="B139" s="7"/>
      <c r="C139" s="7"/>
      <c r="D139" s="7"/>
      <c r="E139" s="7"/>
      <c r="F139" s="7"/>
      <c r="G139" s="18">
        <f t="shared" si="1"/>
        <v>0</v>
      </c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7"/>
      <c r="B140" s="7"/>
      <c r="C140" s="7"/>
      <c r="D140" s="7"/>
      <c r="E140" s="7"/>
      <c r="F140" s="7"/>
      <c r="G140" s="18">
        <f t="shared" si="1"/>
        <v>0</v>
      </c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7"/>
      <c r="B141" s="7"/>
      <c r="C141" s="7"/>
      <c r="D141" s="7"/>
      <c r="E141" s="7"/>
      <c r="F141" s="7"/>
      <c r="G141" s="18">
        <f t="shared" si="1"/>
        <v>0</v>
      </c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7"/>
      <c r="B142" s="7"/>
      <c r="C142" s="7"/>
      <c r="D142" s="7"/>
      <c r="E142" s="7"/>
      <c r="F142" s="7"/>
      <c r="G142" s="18">
        <f t="shared" si="1"/>
        <v>0</v>
      </c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7"/>
      <c r="B143" s="7"/>
      <c r="C143" s="7"/>
      <c r="D143" s="7"/>
      <c r="E143" s="7"/>
      <c r="F143" s="7"/>
      <c r="G143" s="18">
        <f t="shared" si="1"/>
        <v>0</v>
      </c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7"/>
      <c r="B144" s="7"/>
      <c r="C144" s="7"/>
      <c r="D144" s="7"/>
      <c r="E144" s="7"/>
      <c r="F144" s="7"/>
      <c r="G144" s="18">
        <f t="shared" si="1"/>
        <v>0</v>
      </c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7"/>
      <c r="B145" s="7"/>
      <c r="C145" s="7"/>
      <c r="D145" s="7"/>
      <c r="E145" s="7"/>
      <c r="F145" s="7"/>
      <c r="G145" s="18">
        <f t="shared" si="1"/>
        <v>0</v>
      </c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7"/>
      <c r="B146" s="7"/>
      <c r="C146" s="7"/>
      <c r="D146" s="7"/>
      <c r="E146" s="7"/>
      <c r="F146" s="7"/>
      <c r="G146" s="18">
        <f t="shared" si="1"/>
        <v>0</v>
      </c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7"/>
      <c r="B147" s="7"/>
      <c r="C147" s="7"/>
      <c r="D147" s="7"/>
      <c r="E147" s="7"/>
      <c r="F147" s="7"/>
      <c r="G147" s="18">
        <f t="shared" si="1"/>
        <v>0</v>
      </c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7"/>
      <c r="B148" s="7"/>
      <c r="C148" s="7"/>
      <c r="D148" s="7"/>
      <c r="E148" s="7"/>
      <c r="F148" s="7"/>
      <c r="G148" s="18">
        <f t="shared" si="1"/>
        <v>0</v>
      </c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7"/>
      <c r="B149" s="7"/>
      <c r="C149" s="7"/>
      <c r="D149" s="7"/>
      <c r="E149" s="7"/>
      <c r="F149" s="7"/>
      <c r="G149" s="18">
        <f t="shared" si="1"/>
        <v>0</v>
      </c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7"/>
      <c r="B150" s="7"/>
      <c r="C150" s="7"/>
      <c r="D150" s="7"/>
      <c r="E150" s="7"/>
      <c r="F150" s="7"/>
      <c r="G150" s="18">
        <f t="shared" si="1"/>
        <v>0</v>
      </c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7"/>
      <c r="B151" s="7"/>
      <c r="C151" s="7"/>
      <c r="D151" s="7"/>
      <c r="E151" s="7"/>
      <c r="F151" s="7"/>
      <c r="G151" s="18">
        <f t="shared" si="1"/>
        <v>0</v>
      </c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7"/>
      <c r="B152" s="7"/>
      <c r="C152" s="7"/>
      <c r="D152" s="7"/>
      <c r="E152" s="7"/>
      <c r="F152" s="7"/>
      <c r="G152" s="18">
        <f t="shared" si="1"/>
        <v>0</v>
      </c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7"/>
      <c r="B153" s="7"/>
      <c r="C153" s="7"/>
      <c r="D153" s="7"/>
      <c r="E153" s="7"/>
      <c r="F153" s="7"/>
      <c r="G153" s="18">
        <f t="shared" si="1"/>
        <v>0</v>
      </c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7"/>
      <c r="B154" s="7"/>
      <c r="C154" s="7"/>
      <c r="D154" s="7"/>
      <c r="E154" s="7"/>
      <c r="F154" s="7"/>
      <c r="G154" s="18">
        <f t="shared" si="1"/>
        <v>0</v>
      </c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7"/>
      <c r="B155" s="7"/>
      <c r="C155" s="7"/>
      <c r="D155" s="7"/>
      <c r="E155" s="7"/>
      <c r="F155" s="7"/>
      <c r="G155" s="18">
        <f t="shared" si="1"/>
        <v>0</v>
      </c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7"/>
      <c r="B156" s="7"/>
      <c r="C156" s="7"/>
      <c r="D156" s="7"/>
      <c r="E156" s="7"/>
      <c r="F156" s="7"/>
      <c r="G156" s="18">
        <f t="shared" si="1"/>
        <v>0</v>
      </c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7"/>
      <c r="B157" s="7"/>
      <c r="C157" s="7"/>
      <c r="D157" s="7"/>
      <c r="E157" s="7"/>
      <c r="F157" s="7"/>
      <c r="G157" s="18">
        <f t="shared" si="1"/>
        <v>0</v>
      </c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7"/>
      <c r="B158" s="7"/>
      <c r="C158" s="7"/>
      <c r="D158" s="7"/>
      <c r="E158" s="7"/>
      <c r="F158" s="7"/>
      <c r="G158" s="18">
        <f t="shared" si="1"/>
        <v>0</v>
      </c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7"/>
      <c r="B159" s="7"/>
      <c r="C159" s="7"/>
      <c r="D159" s="7"/>
      <c r="E159" s="7"/>
      <c r="F159" s="7"/>
      <c r="G159" s="18">
        <f t="shared" si="1"/>
        <v>0</v>
      </c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7"/>
      <c r="B160" s="7"/>
      <c r="C160" s="7"/>
      <c r="D160" s="7"/>
      <c r="E160" s="7"/>
      <c r="F160" s="7"/>
      <c r="G160" s="18">
        <f t="shared" si="1"/>
        <v>0</v>
      </c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7"/>
      <c r="B161" s="7"/>
      <c r="C161" s="7"/>
      <c r="D161" s="7"/>
      <c r="E161" s="7"/>
      <c r="F161" s="7"/>
      <c r="G161" s="18">
        <f t="shared" si="1"/>
        <v>0</v>
      </c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7"/>
      <c r="B162" s="7"/>
      <c r="C162" s="7"/>
      <c r="D162" s="7"/>
      <c r="E162" s="7"/>
      <c r="F162" s="7"/>
      <c r="G162" s="18">
        <f t="shared" si="1"/>
        <v>0</v>
      </c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7"/>
      <c r="B163" s="7"/>
      <c r="C163" s="7"/>
      <c r="D163" s="7"/>
      <c r="E163" s="7"/>
      <c r="F163" s="7"/>
      <c r="G163" s="18">
        <f t="shared" si="1"/>
        <v>0</v>
      </c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7"/>
      <c r="B164" s="7"/>
      <c r="C164" s="7"/>
      <c r="D164" s="7"/>
      <c r="E164" s="7"/>
      <c r="F164" s="7"/>
      <c r="G164" s="18">
        <f t="shared" si="1"/>
        <v>0</v>
      </c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7"/>
      <c r="B165" s="7"/>
      <c r="C165" s="7"/>
      <c r="D165" s="7"/>
      <c r="E165" s="7"/>
      <c r="F165" s="7"/>
      <c r="G165" s="18">
        <f t="shared" si="1"/>
        <v>0</v>
      </c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7"/>
      <c r="B166" s="7"/>
      <c r="C166" s="7"/>
      <c r="D166" s="7"/>
      <c r="E166" s="7"/>
      <c r="F166" s="7"/>
      <c r="G166" s="18">
        <f t="shared" si="1"/>
        <v>0</v>
      </c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7"/>
      <c r="B167" s="7"/>
      <c r="C167" s="7"/>
      <c r="D167" s="7"/>
      <c r="E167" s="7"/>
      <c r="F167" s="7"/>
      <c r="G167" s="18">
        <f t="shared" si="1"/>
        <v>0</v>
      </c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7"/>
      <c r="B168" s="7"/>
      <c r="C168" s="7"/>
      <c r="D168" s="7"/>
      <c r="E168" s="7"/>
      <c r="F168" s="7"/>
      <c r="G168" s="18">
        <f t="shared" si="1"/>
        <v>0</v>
      </c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7"/>
      <c r="B169" s="7"/>
      <c r="C169" s="7"/>
      <c r="D169" s="7"/>
      <c r="E169" s="7"/>
      <c r="F169" s="7"/>
      <c r="G169" s="18">
        <f t="shared" si="1"/>
        <v>0</v>
      </c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7"/>
      <c r="B170" s="7"/>
      <c r="C170" s="7"/>
      <c r="D170" s="7"/>
      <c r="E170" s="7"/>
      <c r="F170" s="7"/>
      <c r="G170" s="18">
        <f t="shared" si="1"/>
        <v>0</v>
      </c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7"/>
      <c r="B171" s="7"/>
      <c r="C171" s="7"/>
      <c r="D171" s="7"/>
      <c r="E171" s="7"/>
      <c r="F171" s="7"/>
      <c r="G171" s="18">
        <f t="shared" si="1"/>
        <v>0</v>
      </c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7"/>
      <c r="B172" s="7"/>
      <c r="C172" s="7"/>
      <c r="D172" s="7"/>
      <c r="E172" s="7"/>
      <c r="F172" s="7"/>
      <c r="G172" s="18">
        <f t="shared" si="1"/>
        <v>0</v>
      </c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7"/>
      <c r="B173" s="7"/>
      <c r="C173" s="7"/>
      <c r="D173" s="7"/>
      <c r="E173" s="7"/>
      <c r="F173" s="7"/>
      <c r="G173" s="18">
        <f t="shared" si="1"/>
        <v>0</v>
      </c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7"/>
      <c r="B174" s="7"/>
      <c r="C174" s="7"/>
      <c r="D174" s="7"/>
      <c r="E174" s="7"/>
      <c r="F174" s="7"/>
      <c r="G174" s="18">
        <f t="shared" si="1"/>
        <v>0</v>
      </c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7"/>
      <c r="B175" s="7"/>
      <c r="C175" s="7"/>
      <c r="D175" s="7"/>
      <c r="E175" s="7"/>
      <c r="F175" s="7"/>
      <c r="G175" s="18">
        <f t="shared" si="1"/>
        <v>0</v>
      </c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7"/>
      <c r="B176" s="7"/>
      <c r="C176" s="7"/>
      <c r="D176" s="7"/>
      <c r="E176" s="7"/>
      <c r="F176" s="7"/>
      <c r="G176" s="18">
        <f t="shared" si="1"/>
        <v>0</v>
      </c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7"/>
      <c r="B177" s="7"/>
      <c r="C177" s="7"/>
      <c r="D177" s="7"/>
      <c r="E177" s="7"/>
      <c r="F177" s="7"/>
      <c r="G177" s="18">
        <f t="shared" si="1"/>
        <v>0</v>
      </c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7"/>
      <c r="B178" s="7"/>
      <c r="C178" s="7"/>
      <c r="D178" s="7"/>
      <c r="E178" s="7"/>
      <c r="F178" s="7"/>
      <c r="G178" s="18">
        <f t="shared" si="1"/>
        <v>0</v>
      </c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7"/>
      <c r="B179" s="7"/>
      <c r="C179" s="7"/>
      <c r="D179" s="7"/>
      <c r="E179" s="7"/>
      <c r="F179" s="7"/>
      <c r="G179" s="18">
        <f t="shared" si="1"/>
        <v>0</v>
      </c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7"/>
      <c r="B180" s="7"/>
      <c r="C180" s="7"/>
      <c r="D180" s="7"/>
      <c r="E180" s="7"/>
      <c r="F180" s="7"/>
      <c r="G180" s="18">
        <f t="shared" si="1"/>
        <v>0</v>
      </c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7"/>
      <c r="B181" s="7"/>
      <c r="C181" s="7"/>
      <c r="D181" s="7"/>
      <c r="E181" s="7"/>
      <c r="F181" s="7"/>
      <c r="G181" s="18">
        <f t="shared" si="1"/>
        <v>0</v>
      </c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7"/>
      <c r="B182" s="7"/>
      <c r="C182" s="7"/>
      <c r="D182" s="7"/>
      <c r="E182" s="7"/>
      <c r="F182" s="7"/>
      <c r="G182" s="18">
        <f t="shared" si="1"/>
        <v>0</v>
      </c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7"/>
      <c r="B183" s="7"/>
      <c r="C183" s="7"/>
      <c r="D183" s="7"/>
      <c r="E183" s="7"/>
      <c r="F183" s="7"/>
      <c r="G183" s="18">
        <f t="shared" si="1"/>
        <v>0</v>
      </c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7"/>
      <c r="B184" s="7"/>
      <c r="C184" s="7"/>
      <c r="D184" s="7"/>
      <c r="E184" s="7"/>
      <c r="F184" s="7"/>
      <c r="G184" s="18">
        <f t="shared" si="1"/>
        <v>0</v>
      </c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7"/>
      <c r="B185" s="7"/>
      <c r="C185" s="7"/>
      <c r="D185" s="7"/>
      <c r="E185" s="7"/>
      <c r="F185" s="7"/>
      <c r="G185" s="18">
        <f t="shared" si="1"/>
        <v>0</v>
      </c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7"/>
      <c r="B186" s="7"/>
      <c r="C186" s="7"/>
      <c r="D186" s="7"/>
      <c r="E186" s="7"/>
      <c r="F186" s="7"/>
      <c r="G186" s="18">
        <f t="shared" si="1"/>
        <v>0</v>
      </c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7"/>
      <c r="B187" s="7"/>
      <c r="C187" s="7"/>
      <c r="D187" s="7"/>
      <c r="E187" s="7"/>
      <c r="F187" s="7"/>
      <c r="G187" s="18">
        <f t="shared" si="1"/>
        <v>0</v>
      </c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7"/>
      <c r="B188" s="7"/>
      <c r="C188" s="7"/>
      <c r="D188" s="7"/>
      <c r="E188" s="7"/>
      <c r="F188" s="7"/>
      <c r="G188" s="18">
        <f t="shared" si="1"/>
        <v>0</v>
      </c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7"/>
      <c r="B189" s="7"/>
      <c r="C189" s="7"/>
      <c r="D189" s="7"/>
      <c r="E189" s="7"/>
      <c r="F189" s="7"/>
      <c r="G189" s="18">
        <f t="shared" si="1"/>
        <v>0</v>
      </c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7"/>
      <c r="B190" s="7"/>
      <c r="C190" s="7"/>
      <c r="D190" s="7"/>
      <c r="E190" s="7"/>
      <c r="F190" s="7"/>
      <c r="G190" s="18">
        <f t="shared" si="1"/>
        <v>0</v>
      </c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7"/>
      <c r="B191" s="7"/>
      <c r="C191" s="7"/>
      <c r="D191" s="7"/>
      <c r="E191" s="7"/>
      <c r="F191" s="7"/>
      <c r="G191" s="18">
        <f t="shared" si="1"/>
        <v>0</v>
      </c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7"/>
      <c r="B192" s="7"/>
      <c r="C192" s="7"/>
      <c r="D192" s="7"/>
      <c r="E192" s="7"/>
      <c r="F192" s="7"/>
      <c r="G192" s="18">
        <f t="shared" si="1"/>
        <v>0</v>
      </c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7"/>
      <c r="B193" s="7"/>
      <c r="C193" s="7"/>
      <c r="D193" s="7"/>
      <c r="E193" s="7"/>
      <c r="F193" s="7"/>
      <c r="G193" s="18">
        <f t="shared" si="1"/>
        <v>0</v>
      </c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7"/>
      <c r="B194" s="7"/>
      <c r="C194" s="7"/>
      <c r="D194" s="7"/>
      <c r="E194" s="7"/>
      <c r="F194" s="7"/>
      <c r="G194" s="18">
        <f t="shared" si="1"/>
        <v>0</v>
      </c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7"/>
      <c r="B195" s="7"/>
      <c r="C195" s="7"/>
      <c r="D195" s="7"/>
      <c r="E195" s="7"/>
      <c r="F195" s="7"/>
      <c r="G195" s="18">
        <f t="shared" si="1"/>
        <v>0</v>
      </c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7"/>
      <c r="B196" s="7"/>
      <c r="C196" s="7"/>
      <c r="D196" s="7"/>
      <c r="E196" s="7"/>
      <c r="F196" s="7"/>
      <c r="G196" s="18">
        <f t="shared" si="1"/>
        <v>0</v>
      </c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7"/>
      <c r="B197" s="7"/>
      <c r="C197" s="7"/>
      <c r="D197" s="7"/>
      <c r="E197" s="7"/>
      <c r="F197" s="7"/>
      <c r="G197" s="18">
        <f t="shared" si="1"/>
        <v>0</v>
      </c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7"/>
      <c r="B198" s="7"/>
      <c r="C198" s="7"/>
      <c r="D198" s="7"/>
      <c r="E198" s="7"/>
      <c r="F198" s="7"/>
      <c r="G198" s="18">
        <f t="shared" si="1"/>
        <v>0</v>
      </c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7"/>
      <c r="B199" s="7"/>
      <c r="C199" s="7"/>
      <c r="D199" s="7"/>
      <c r="E199" s="7"/>
      <c r="F199" s="7"/>
      <c r="G199" s="18">
        <f t="shared" si="1"/>
        <v>0</v>
      </c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7"/>
      <c r="B200" s="7"/>
      <c r="C200" s="7"/>
      <c r="D200" s="7"/>
      <c r="E200" s="7"/>
      <c r="F200" s="7"/>
      <c r="G200" s="18">
        <f t="shared" si="1"/>
        <v>0</v>
      </c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7"/>
      <c r="B201" s="7"/>
      <c r="C201" s="7"/>
      <c r="D201" s="7"/>
      <c r="E201" s="7"/>
      <c r="F201" s="7"/>
      <c r="G201" s="18">
        <f t="shared" si="1"/>
        <v>0</v>
      </c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7"/>
      <c r="B202" s="7"/>
      <c r="C202" s="7"/>
      <c r="D202" s="7"/>
      <c r="E202" s="7"/>
      <c r="F202" s="7"/>
      <c r="G202" s="18">
        <f t="shared" si="1"/>
        <v>0</v>
      </c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7"/>
      <c r="B203" s="7"/>
      <c r="C203" s="7"/>
      <c r="D203" s="7"/>
      <c r="E203" s="7"/>
      <c r="F203" s="7"/>
      <c r="G203" s="18">
        <f t="shared" si="1"/>
        <v>0</v>
      </c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7"/>
      <c r="B204" s="7"/>
      <c r="C204" s="7"/>
      <c r="D204" s="7"/>
      <c r="E204" s="7"/>
      <c r="F204" s="7"/>
      <c r="G204" s="18">
        <f t="shared" si="1"/>
        <v>0</v>
      </c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7"/>
      <c r="B205" s="7"/>
      <c r="C205" s="7"/>
      <c r="D205" s="7"/>
      <c r="E205" s="7"/>
      <c r="F205" s="7"/>
      <c r="G205" s="18">
        <f t="shared" si="1"/>
        <v>0</v>
      </c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7"/>
      <c r="B206" s="7"/>
      <c r="C206" s="7"/>
      <c r="D206" s="7"/>
      <c r="E206" s="7"/>
      <c r="F206" s="7"/>
      <c r="G206" s="18">
        <f t="shared" si="1"/>
        <v>0</v>
      </c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7"/>
      <c r="B207" s="7"/>
      <c r="C207" s="7"/>
      <c r="D207" s="7"/>
      <c r="E207" s="7"/>
      <c r="F207" s="7"/>
      <c r="G207" s="18">
        <f t="shared" si="1"/>
        <v>0</v>
      </c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7"/>
      <c r="B208" s="7"/>
      <c r="C208" s="7"/>
      <c r="D208" s="7"/>
      <c r="E208" s="7"/>
      <c r="F208" s="7"/>
      <c r="G208" s="18">
        <f t="shared" si="1"/>
        <v>0</v>
      </c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7"/>
      <c r="B209" s="7"/>
      <c r="C209" s="7"/>
      <c r="D209" s="7"/>
      <c r="E209" s="7"/>
      <c r="F209" s="7"/>
      <c r="G209" s="18">
        <f t="shared" si="1"/>
        <v>0</v>
      </c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7"/>
      <c r="B210" s="7"/>
      <c r="C210" s="7"/>
      <c r="D210" s="7"/>
      <c r="E210" s="7"/>
      <c r="F210" s="7"/>
      <c r="G210" s="18">
        <f t="shared" si="1"/>
        <v>0</v>
      </c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7"/>
      <c r="B211" s="7"/>
      <c r="C211" s="7"/>
      <c r="D211" s="7"/>
      <c r="E211" s="7"/>
      <c r="F211" s="7"/>
      <c r="G211" s="18">
        <f t="shared" si="1"/>
        <v>0</v>
      </c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7"/>
      <c r="B212" s="7"/>
      <c r="C212" s="7"/>
      <c r="D212" s="7"/>
      <c r="E212" s="7"/>
      <c r="F212" s="7"/>
      <c r="G212" s="18">
        <f t="shared" si="1"/>
        <v>0</v>
      </c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7"/>
      <c r="B213" s="7"/>
      <c r="C213" s="7"/>
      <c r="D213" s="7"/>
      <c r="E213" s="7"/>
      <c r="F213" s="7"/>
      <c r="G213" s="18">
        <f t="shared" si="1"/>
        <v>0</v>
      </c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7"/>
      <c r="B214" s="7"/>
      <c r="C214" s="7"/>
      <c r="D214" s="7"/>
      <c r="E214" s="7"/>
      <c r="F214" s="7"/>
      <c r="G214" s="18">
        <f t="shared" si="1"/>
        <v>0</v>
      </c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7"/>
      <c r="B215" s="7"/>
      <c r="C215" s="7"/>
      <c r="D215" s="7"/>
      <c r="E215" s="7"/>
      <c r="F215" s="7"/>
      <c r="G215" s="18">
        <f t="shared" si="1"/>
        <v>0</v>
      </c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7"/>
      <c r="B216" s="7"/>
      <c r="C216" s="7"/>
      <c r="D216" s="7"/>
      <c r="E216" s="7"/>
      <c r="F216" s="7"/>
      <c r="G216" s="18">
        <f t="shared" si="1"/>
        <v>0</v>
      </c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7"/>
      <c r="B217" s="7"/>
      <c r="C217" s="7"/>
      <c r="D217" s="7"/>
      <c r="E217" s="7"/>
      <c r="F217" s="7"/>
      <c r="G217" s="18">
        <f t="shared" si="1"/>
        <v>0</v>
      </c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7"/>
      <c r="B218" s="7"/>
      <c r="C218" s="7"/>
      <c r="D218" s="7"/>
      <c r="E218" s="7"/>
      <c r="F218" s="7"/>
      <c r="G218" s="18">
        <f t="shared" si="1"/>
        <v>0</v>
      </c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7"/>
      <c r="B219" s="7"/>
      <c r="C219" s="7"/>
      <c r="D219" s="7"/>
      <c r="E219" s="7"/>
      <c r="F219" s="7"/>
      <c r="G219" s="18">
        <f t="shared" si="1"/>
        <v>0</v>
      </c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7"/>
      <c r="B220" s="7"/>
      <c r="C220" s="7"/>
      <c r="D220" s="7"/>
      <c r="E220" s="7"/>
      <c r="F220" s="7"/>
      <c r="G220" s="18">
        <f t="shared" si="1"/>
        <v>0</v>
      </c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7"/>
      <c r="B221" s="7"/>
      <c r="C221" s="7"/>
      <c r="D221" s="7"/>
      <c r="E221" s="7"/>
      <c r="F221" s="7"/>
      <c r="G221" s="18">
        <f t="shared" si="1"/>
        <v>0</v>
      </c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7"/>
      <c r="B222" s="7"/>
      <c r="C222" s="7"/>
      <c r="D222" s="7"/>
      <c r="E222" s="7"/>
      <c r="F222" s="7"/>
      <c r="G222" s="18">
        <f t="shared" si="1"/>
        <v>0</v>
      </c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7"/>
      <c r="B223" s="7"/>
      <c r="C223" s="7"/>
      <c r="D223" s="7"/>
      <c r="E223" s="7"/>
      <c r="F223" s="7"/>
      <c r="G223" s="18">
        <f t="shared" si="1"/>
        <v>0</v>
      </c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7"/>
      <c r="B224" s="7"/>
      <c r="C224" s="7"/>
      <c r="D224" s="7"/>
      <c r="E224" s="7"/>
      <c r="F224" s="7"/>
      <c r="G224" s="18">
        <f t="shared" si="1"/>
        <v>0</v>
      </c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7"/>
      <c r="B225" s="7"/>
      <c r="C225" s="7"/>
      <c r="D225" s="7"/>
      <c r="E225" s="7"/>
      <c r="F225" s="7"/>
      <c r="G225" s="18">
        <f t="shared" si="1"/>
        <v>0</v>
      </c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7"/>
      <c r="B226" s="7"/>
      <c r="C226" s="7"/>
      <c r="D226" s="7"/>
      <c r="E226" s="7"/>
      <c r="F226" s="7"/>
      <c r="G226" s="18">
        <f t="shared" si="1"/>
        <v>0</v>
      </c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7"/>
      <c r="B227" s="7"/>
      <c r="C227" s="7"/>
      <c r="D227" s="7"/>
      <c r="E227" s="7"/>
      <c r="F227" s="7"/>
      <c r="G227" s="18">
        <f t="shared" si="1"/>
        <v>0</v>
      </c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7"/>
      <c r="B228" s="7"/>
      <c r="C228" s="7"/>
      <c r="D228" s="7"/>
      <c r="E228" s="7"/>
      <c r="F228" s="7"/>
      <c r="G228" s="18">
        <f t="shared" si="1"/>
        <v>0</v>
      </c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7"/>
      <c r="B229" s="7"/>
      <c r="C229" s="7"/>
      <c r="D229" s="7"/>
      <c r="E229" s="7"/>
      <c r="F229" s="7"/>
      <c r="G229" s="18">
        <f t="shared" si="1"/>
        <v>0</v>
      </c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7"/>
      <c r="B230" s="7"/>
      <c r="C230" s="7"/>
      <c r="D230" s="7"/>
      <c r="E230" s="7"/>
      <c r="F230" s="7"/>
      <c r="G230" s="18">
        <f t="shared" si="1"/>
        <v>0</v>
      </c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7"/>
      <c r="B231" s="7"/>
      <c r="C231" s="7"/>
      <c r="D231" s="7"/>
      <c r="E231" s="7"/>
      <c r="F231" s="7"/>
      <c r="G231" s="18">
        <f t="shared" si="1"/>
        <v>0</v>
      </c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7"/>
      <c r="B232" s="7"/>
      <c r="C232" s="7"/>
      <c r="D232" s="7"/>
      <c r="E232" s="7"/>
      <c r="F232" s="7"/>
      <c r="G232" s="18">
        <f t="shared" si="1"/>
        <v>0</v>
      </c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7"/>
      <c r="B233" s="7"/>
      <c r="C233" s="7"/>
      <c r="D233" s="7"/>
      <c r="E233" s="7"/>
      <c r="F233" s="7"/>
      <c r="G233" s="18">
        <f t="shared" si="1"/>
        <v>0</v>
      </c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7"/>
      <c r="B234" s="7"/>
      <c r="C234" s="7"/>
      <c r="D234" s="7"/>
      <c r="E234" s="7"/>
      <c r="F234" s="7"/>
      <c r="G234" s="18">
        <f t="shared" si="1"/>
        <v>0</v>
      </c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7"/>
      <c r="B235" s="7"/>
      <c r="C235" s="7"/>
      <c r="D235" s="7"/>
      <c r="E235" s="7"/>
      <c r="F235" s="7"/>
      <c r="G235" s="18">
        <f t="shared" si="1"/>
        <v>0</v>
      </c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7"/>
      <c r="B236" s="7"/>
      <c r="C236" s="7"/>
      <c r="D236" s="7"/>
      <c r="E236" s="7"/>
      <c r="F236" s="7"/>
      <c r="G236" s="18">
        <f t="shared" si="1"/>
        <v>0</v>
      </c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7"/>
      <c r="B237" s="7"/>
      <c r="C237" s="7"/>
      <c r="D237" s="7"/>
      <c r="E237" s="7"/>
      <c r="F237" s="7"/>
      <c r="G237" s="18">
        <f t="shared" si="1"/>
        <v>0</v>
      </c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7"/>
      <c r="B238" s="7"/>
      <c r="C238" s="7"/>
      <c r="D238" s="7"/>
      <c r="E238" s="7"/>
      <c r="F238" s="7"/>
      <c r="G238" s="18">
        <f t="shared" si="1"/>
        <v>0</v>
      </c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7"/>
      <c r="B239" s="7"/>
      <c r="C239" s="7"/>
      <c r="D239" s="7"/>
      <c r="E239" s="7"/>
      <c r="F239" s="7"/>
      <c r="G239" s="18">
        <f t="shared" si="1"/>
        <v>0</v>
      </c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7"/>
      <c r="B240" s="7"/>
      <c r="C240" s="7"/>
      <c r="D240" s="7"/>
      <c r="E240" s="7"/>
      <c r="F240" s="7"/>
      <c r="G240" s="18">
        <f t="shared" si="1"/>
        <v>0</v>
      </c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7"/>
      <c r="B241" s="7"/>
      <c r="C241" s="7"/>
      <c r="D241" s="7"/>
      <c r="E241" s="7"/>
      <c r="F241" s="7"/>
      <c r="G241" s="18">
        <f t="shared" si="1"/>
        <v>0</v>
      </c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7"/>
      <c r="B242" s="7"/>
      <c r="C242" s="7"/>
      <c r="D242" s="7"/>
      <c r="E242" s="7"/>
      <c r="F242" s="7"/>
      <c r="G242" s="18">
        <f t="shared" si="1"/>
        <v>0</v>
      </c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7"/>
      <c r="B243" s="7"/>
      <c r="C243" s="7"/>
      <c r="D243" s="7"/>
      <c r="E243" s="7"/>
      <c r="F243" s="7"/>
      <c r="G243" s="18">
        <f t="shared" si="1"/>
        <v>0</v>
      </c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7"/>
      <c r="B244" s="7"/>
      <c r="C244" s="7"/>
      <c r="D244" s="7"/>
      <c r="E244" s="7"/>
      <c r="F244" s="7"/>
      <c r="G244" s="18">
        <f t="shared" si="1"/>
        <v>0</v>
      </c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7"/>
      <c r="B245" s="7"/>
      <c r="C245" s="7"/>
      <c r="D245" s="7"/>
      <c r="E245" s="7"/>
      <c r="F245" s="7"/>
      <c r="G245" s="18">
        <f t="shared" si="1"/>
        <v>0</v>
      </c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7"/>
      <c r="B246" s="7"/>
      <c r="C246" s="7"/>
      <c r="D246" s="7"/>
      <c r="E246" s="7"/>
      <c r="F246" s="7"/>
      <c r="G246" s="18">
        <f t="shared" si="1"/>
        <v>0</v>
      </c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7"/>
      <c r="B247" s="7"/>
      <c r="C247" s="7"/>
      <c r="D247" s="7"/>
      <c r="E247" s="7"/>
      <c r="F247" s="7"/>
      <c r="G247" s="18">
        <f t="shared" si="1"/>
        <v>0</v>
      </c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7"/>
      <c r="B248" s="7"/>
      <c r="C248" s="7"/>
      <c r="D248" s="7"/>
      <c r="E248" s="7"/>
      <c r="F248" s="7"/>
      <c r="G248" s="18">
        <f t="shared" si="1"/>
        <v>0</v>
      </c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7"/>
      <c r="B249" s="7"/>
      <c r="C249" s="7"/>
      <c r="D249" s="7"/>
      <c r="E249" s="7"/>
      <c r="F249" s="7"/>
      <c r="G249" s="18">
        <f t="shared" si="1"/>
        <v>0</v>
      </c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7"/>
      <c r="B250" s="7"/>
      <c r="C250" s="7"/>
      <c r="D250" s="7"/>
      <c r="E250" s="7"/>
      <c r="F250" s="7"/>
      <c r="G250" s="18">
        <f t="shared" si="1"/>
        <v>0</v>
      </c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7"/>
      <c r="B251" s="7"/>
      <c r="C251" s="7"/>
      <c r="D251" s="7"/>
      <c r="E251" s="7"/>
      <c r="F251" s="7"/>
      <c r="G251" s="18">
        <f t="shared" si="1"/>
        <v>0</v>
      </c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7"/>
      <c r="B252" s="7"/>
      <c r="C252" s="7"/>
      <c r="D252" s="7"/>
      <c r="E252" s="7"/>
      <c r="F252" s="7"/>
      <c r="G252" s="18">
        <f t="shared" si="1"/>
        <v>0</v>
      </c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7"/>
      <c r="B253" s="7"/>
      <c r="C253" s="7"/>
      <c r="D253" s="7"/>
      <c r="E253" s="7"/>
      <c r="F253" s="7"/>
      <c r="G253" s="18">
        <f t="shared" si="1"/>
        <v>0</v>
      </c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7"/>
      <c r="B254" s="7"/>
      <c r="C254" s="7"/>
      <c r="D254" s="7"/>
      <c r="E254" s="7"/>
      <c r="F254" s="7"/>
      <c r="G254" s="18">
        <f t="shared" si="1"/>
        <v>0</v>
      </c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7"/>
      <c r="B255" s="7"/>
      <c r="C255" s="7"/>
      <c r="D255" s="7"/>
      <c r="E255" s="7"/>
      <c r="F255" s="7"/>
      <c r="G255" s="18">
        <f t="shared" si="1"/>
        <v>0</v>
      </c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7"/>
      <c r="B256" s="7"/>
      <c r="C256" s="7"/>
      <c r="D256" s="7"/>
      <c r="E256" s="7"/>
      <c r="F256" s="7"/>
      <c r="G256" s="18">
        <f t="shared" si="1"/>
        <v>0</v>
      </c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7"/>
      <c r="B257" s="7"/>
      <c r="C257" s="7"/>
      <c r="D257" s="7"/>
      <c r="E257" s="7"/>
      <c r="F257" s="7"/>
      <c r="G257" s="18">
        <f t="shared" si="1"/>
        <v>0</v>
      </c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7"/>
      <c r="B258" s="7"/>
      <c r="C258" s="7"/>
      <c r="D258" s="7"/>
      <c r="E258" s="7"/>
      <c r="F258" s="7"/>
      <c r="G258" s="18">
        <f t="shared" si="1"/>
        <v>0</v>
      </c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7"/>
      <c r="B259" s="7"/>
      <c r="C259" s="7"/>
      <c r="D259" s="7"/>
      <c r="E259" s="7"/>
      <c r="F259" s="7"/>
      <c r="G259" s="18">
        <f t="shared" si="1"/>
        <v>0</v>
      </c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7"/>
      <c r="B260" s="7"/>
      <c r="C260" s="7"/>
      <c r="D260" s="7"/>
      <c r="E260" s="7"/>
      <c r="F260" s="7"/>
      <c r="G260" s="18">
        <f t="shared" si="1"/>
        <v>0</v>
      </c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7"/>
      <c r="B261" s="7"/>
      <c r="C261" s="7"/>
      <c r="D261" s="7"/>
      <c r="E261" s="7"/>
      <c r="F261" s="7"/>
      <c r="G261" s="18">
        <f t="shared" si="1"/>
        <v>0</v>
      </c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7"/>
      <c r="B262" s="7"/>
      <c r="C262" s="7"/>
      <c r="D262" s="7"/>
      <c r="E262" s="7"/>
      <c r="F262" s="7"/>
      <c r="G262" s="18">
        <f t="shared" si="1"/>
        <v>0</v>
      </c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7"/>
      <c r="B263" s="7"/>
      <c r="C263" s="7"/>
      <c r="D263" s="7"/>
      <c r="E263" s="7"/>
      <c r="F263" s="7"/>
      <c r="G263" s="18">
        <f t="shared" si="1"/>
        <v>0</v>
      </c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7"/>
      <c r="B264" s="7"/>
      <c r="C264" s="7"/>
      <c r="D264" s="7"/>
      <c r="E264" s="7"/>
      <c r="F264" s="7"/>
      <c r="G264" s="18">
        <f t="shared" si="1"/>
        <v>0</v>
      </c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7"/>
      <c r="B265" s="7"/>
      <c r="C265" s="7"/>
      <c r="D265" s="7"/>
      <c r="E265" s="7"/>
      <c r="F265" s="7"/>
      <c r="G265" s="18">
        <f t="shared" si="1"/>
        <v>0</v>
      </c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7"/>
      <c r="B266" s="7"/>
      <c r="C266" s="7"/>
      <c r="D266" s="7"/>
      <c r="E266" s="7"/>
      <c r="F266" s="7"/>
      <c r="G266" s="18">
        <f t="shared" si="1"/>
        <v>0</v>
      </c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7"/>
      <c r="B267" s="7"/>
      <c r="C267" s="7"/>
      <c r="D267" s="7"/>
      <c r="E267" s="7"/>
      <c r="F267" s="7"/>
      <c r="G267" s="18">
        <f t="shared" si="1"/>
        <v>0</v>
      </c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7"/>
      <c r="B268" s="7"/>
      <c r="C268" s="7"/>
      <c r="D268" s="7"/>
      <c r="E268" s="7"/>
      <c r="F268" s="7"/>
      <c r="G268" s="18">
        <f t="shared" si="1"/>
        <v>0</v>
      </c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7"/>
      <c r="B269" s="7"/>
      <c r="C269" s="7"/>
      <c r="D269" s="7"/>
      <c r="E269" s="7"/>
      <c r="F269" s="7"/>
      <c r="G269" s="18">
        <f t="shared" si="1"/>
        <v>0</v>
      </c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7"/>
      <c r="B270" s="7"/>
      <c r="C270" s="7"/>
      <c r="D270" s="7"/>
      <c r="E270" s="7"/>
      <c r="F270" s="7"/>
      <c r="G270" s="18">
        <f t="shared" si="1"/>
        <v>0</v>
      </c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7"/>
      <c r="B271" s="7"/>
      <c r="C271" s="7"/>
      <c r="D271" s="7"/>
      <c r="E271" s="7"/>
      <c r="F271" s="7"/>
      <c r="G271" s="18">
        <f t="shared" si="1"/>
        <v>0</v>
      </c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7"/>
      <c r="B272" s="7"/>
      <c r="C272" s="7"/>
      <c r="D272" s="7"/>
      <c r="E272" s="7"/>
      <c r="F272" s="7"/>
      <c r="G272" s="18">
        <f t="shared" si="1"/>
        <v>0</v>
      </c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7"/>
      <c r="B273" s="7"/>
      <c r="C273" s="7"/>
      <c r="D273" s="7"/>
      <c r="E273" s="7"/>
      <c r="F273" s="7"/>
      <c r="G273" s="18">
        <f t="shared" si="1"/>
        <v>0</v>
      </c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7"/>
      <c r="B274" s="7"/>
      <c r="C274" s="7"/>
      <c r="D274" s="7"/>
      <c r="E274" s="7"/>
      <c r="F274" s="7"/>
      <c r="G274" s="18">
        <f t="shared" si="1"/>
        <v>0</v>
      </c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7"/>
      <c r="B275" s="7"/>
      <c r="C275" s="7"/>
      <c r="D275" s="7"/>
      <c r="E275" s="7"/>
      <c r="F275" s="7"/>
      <c r="G275" s="18">
        <f t="shared" si="1"/>
        <v>0</v>
      </c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7"/>
      <c r="B276" s="7"/>
      <c r="C276" s="7"/>
      <c r="D276" s="7"/>
      <c r="E276" s="7"/>
      <c r="F276" s="7"/>
      <c r="G276" s="18">
        <f t="shared" si="1"/>
        <v>0</v>
      </c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7"/>
      <c r="B277" s="7"/>
      <c r="C277" s="7"/>
      <c r="D277" s="7"/>
      <c r="E277" s="7"/>
      <c r="F277" s="7"/>
      <c r="G277" s="18">
        <f t="shared" si="1"/>
        <v>0</v>
      </c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7"/>
      <c r="B278" s="7"/>
      <c r="C278" s="7"/>
      <c r="D278" s="7"/>
      <c r="E278" s="7"/>
      <c r="F278" s="7"/>
      <c r="G278" s="18">
        <f t="shared" si="1"/>
        <v>0</v>
      </c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7"/>
      <c r="B279" s="7"/>
      <c r="C279" s="7"/>
      <c r="D279" s="7"/>
      <c r="E279" s="7"/>
      <c r="F279" s="7"/>
      <c r="G279" s="18">
        <f t="shared" si="1"/>
        <v>0</v>
      </c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7"/>
      <c r="B280" s="7"/>
      <c r="C280" s="7"/>
      <c r="D280" s="7"/>
      <c r="E280" s="7"/>
      <c r="F280" s="7"/>
      <c r="G280" s="18">
        <f t="shared" si="1"/>
        <v>0</v>
      </c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7"/>
      <c r="B281" s="7"/>
      <c r="C281" s="7"/>
      <c r="D281" s="7"/>
      <c r="E281" s="7"/>
      <c r="F281" s="7"/>
      <c r="G281" s="18">
        <f t="shared" si="1"/>
        <v>0</v>
      </c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7"/>
      <c r="B282" s="7"/>
      <c r="C282" s="7"/>
      <c r="D282" s="7"/>
      <c r="E282" s="7"/>
      <c r="F282" s="7"/>
      <c r="G282" s="18">
        <f t="shared" si="1"/>
        <v>0</v>
      </c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7"/>
      <c r="B283" s="7"/>
      <c r="C283" s="7"/>
      <c r="D283" s="7"/>
      <c r="E283" s="7"/>
      <c r="F283" s="7"/>
      <c r="G283" s="18">
        <f t="shared" si="1"/>
        <v>0</v>
      </c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7"/>
      <c r="B284" s="7"/>
      <c r="C284" s="7"/>
      <c r="D284" s="7"/>
      <c r="E284" s="7"/>
      <c r="F284" s="7"/>
      <c r="G284" s="18">
        <f t="shared" si="1"/>
        <v>0</v>
      </c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7"/>
      <c r="B285" s="7"/>
      <c r="C285" s="7"/>
      <c r="D285" s="7"/>
      <c r="E285" s="7"/>
      <c r="F285" s="7"/>
      <c r="G285" s="18">
        <f t="shared" si="1"/>
        <v>0</v>
      </c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7"/>
      <c r="B286" s="7"/>
      <c r="C286" s="7"/>
      <c r="D286" s="7"/>
      <c r="E286" s="7"/>
      <c r="F286" s="7"/>
      <c r="G286" s="18">
        <f t="shared" si="1"/>
        <v>0</v>
      </c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7"/>
      <c r="B287" s="7"/>
      <c r="C287" s="7"/>
      <c r="D287" s="7"/>
      <c r="E287" s="7"/>
      <c r="F287" s="7"/>
      <c r="G287" s="18">
        <f t="shared" si="1"/>
        <v>0</v>
      </c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7"/>
      <c r="B288" s="7"/>
      <c r="C288" s="7"/>
      <c r="D288" s="7"/>
      <c r="E288" s="7"/>
      <c r="F288" s="7"/>
      <c r="G288" s="18">
        <f t="shared" si="1"/>
        <v>0</v>
      </c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7"/>
      <c r="B289" s="7"/>
      <c r="C289" s="7"/>
      <c r="D289" s="7"/>
      <c r="E289" s="7"/>
      <c r="F289" s="7"/>
      <c r="G289" s="18">
        <f t="shared" si="1"/>
        <v>0</v>
      </c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7"/>
      <c r="B290" s="7"/>
      <c r="C290" s="7"/>
      <c r="D290" s="7"/>
      <c r="E290" s="7"/>
      <c r="F290" s="7"/>
      <c r="G290" s="18">
        <f t="shared" si="1"/>
        <v>0</v>
      </c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7"/>
      <c r="B291" s="7"/>
      <c r="C291" s="7"/>
      <c r="D291" s="7"/>
      <c r="E291" s="7"/>
      <c r="F291" s="7"/>
      <c r="G291" s="18">
        <f t="shared" si="1"/>
        <v>0</v>
      </c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7"/>
      <c r="B292" s="7"/>
      <c r="C292" s="7"/>
      <c r="D292" s="7"/>
      <c r="E292" s="7"/>
      <c r="F292" s="7"/>
      <c r="G292" s="18">
        <f t="shared" si="1"/>
        <v>0</v>
      </c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7"/>
      <c r="B293" s="7"/>
      <c r="C293" s="7"/>
      <c r="D293" s="7"/>
      <c r="E293" s="7"/>
      <c r="F293" s="7"/>
      <c r="G293" s="18">
        <f t="shared" si="1"/>
        <v>0</v>
      </c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7"/>
      <c r="B294" s="7"/>
      <c r="C294" s="7"/>
      <c r="D294" s="7"/>
      <c r="E294" s="7"/>
      <c r="F294" s="7"/>
      <c r="G294" s="18">
        <f t="shared" si="1"/>
        <v>0</v>
      </c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7"/>
      <c r="B295" s="7"/>
      <c r="C295" s="7"/>
      <c r="D295" s="7"/>
      <c r="E295" s="7"/>
      <c r="F295" s="7"/>
      <c r="G295" s="18">
        <f t="shared" si="1"/>
        <v>0</v>
      </c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7"/>
      <c r="B296" s="7"/>
      <c r="C296" s="7"/>
      <c r="D296" s="7"/>
      <c r="E296" s="7"/>
      <c r="F296" s="7"/>
      <c r="G296" s="18">
        <f t="shared" si="1"/>
        <v>0</v>
      </c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7"/>
      <c r="B297" s="7"/>
      <c r="C297" s="7"/>
      <c r="D297" s="7"/>
      <c r="E297" s="7"/>
      <c r="F297" s="7"/>
      <c r="G297" s="18">
        <f t="shared" si="1"/>
        <v>0</v>
      </c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7"/>
      <c r="B298" s="7"/>
      <c r="C298" s="7"/>
      <c r="D298" s="7"/>
      <c r="E298" s="7"/>
      <c r="F298" s="7"/>
      <c r="G298" s="18">
        <f t="shared" si="1"/>
        <v>0</v>
      </c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7"/>
      <c r="B299" s="7"/>
      <c r="C299" s="7"/>
      <c r="D299" s="7"/>
      <c r="E299" s="7"/>
      <c r="F299" s="7"/>
      <c r="G299" s="18">
        <f t="shared" si="1"/>
        <v>0</v>
      </c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7"/>
      <c r="B300" s="7"/>
      <c r="C300" s="7"/>
      <c r="D300" s="7"/>
      <c r="E300" s="7"/>
      <c r="F300" s="7"/>
      <c r="G300" s="18">
        <f t="shared" si="1"/>
        <v>0</v>
      </c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7"/>
      <c r="B301" s="7"/>
      <c r="C301" s="7"/>
      <c r="D301" s="7"/>
      <c r="E301" s="7"/>
      <c r="F301" s="7"/>
      <c r="G301" s="18">
        <f t="shared" si="1"/>
        <v>0</v>
      </c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7"/>
      <c r="B302" s="7"/>
      <c r="C302" s="7"/>
      <c r="D302" s="7"/>
      <c r="E302" s="7"/>
      <c r="F302" s="7"/>
      <c r="G302" s="18">
        <f t="shared" si="1"/>
        <v>0</v>
      </c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7"/>
      <c r="B303" s="7"/>
      <c r="C303" s="7"/>
      <c r="D303" s="7"/>
      <c r="E303" s="7"/>
      <c r="F303" s="7"/>
      <c r="G303" s="18">
        <f t="shared" si="1"/>
        <v>0</v>
      </c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7"/>
      <c r="B304" s="7"/>
      <c r="C304" s="7"/>
      <c r="D304" s="7"/>
      <c r="E304" s="7"/>
      <c r="F304" s="7"/>
      <c r="G304" s="18">
        <f t="shared" si="1"/>
        <v>0</v>
      </c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7"/>
      <c r="B305" s="7"/>
      <c r="C305" s="7"/>
      <c r="D305" s="7"/>
      <c r="E305" s="7"/>
      <c r="F305" s="7"/>
      <c r="G305" s="18">
        <f t="shared" si="1"/>
        <v>0</v>
      </c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7"/>
      <c r="B306" s="7"/>
      <c r="C306" s="7"/>
      <c r="D306" s="7"/>
      <c r="E306" s="7"/>
      <c r="F306" s="7"/>
      <c r="G306" s="18">
        <f t="shared" si="1"/>
        <v>0</v>
      </c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7"/>
      <c r="B307" s="7"/>
      <c r="C307" s="7"/>
      <c r="D307" s="7"/>
      <c r="E307" s="7"/>
      <c r="F307" s="7"/>
      <c r="G307" s="18">
        <f t="shared" si="1"/>
        <v>0</v>
      </c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7"/>
      <c r="B308" s="7"/>
      <c r="C308" s="7"/>
      <c r="D308" s="7"/>
      <c r="E308" s="7"/>
      <c r="F308" s="7"/>
      <c r="G308" s="18">
        <f t="shared" si="1"/>
        <v>0</v>
      </c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7"/>
      <c r="B309" s="7"/>
      <c r="C309" s="7"/>
      <c r="D309" s="7"/>
      <c r="E309" s="7"/>
      <c r="F309" s="7"/>
      <c r="G309" s="18">
        <f t="shared" si="1"/>
        <v>0</v>
      </c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7"/>
      <c r="B310" s="7"/>
      <c r="C310" s="7"/>
      <c r="D310" s="7"/>
      <c r="E310" s="7"/>
      <c r="F310" s="7"/>
      <c r="G310" s="18">
        <f t="shared" si="1"/>
        <v>0</v>
      </c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7"/>
      <c r="B311" s="7"/>
      <c r="C311" s="7"/>
      <c r="D311" s="7"/>
      <c r="E311" s="7"/>
      <c r="F311" s="7"/>
      <c r="G311" s="18">
        <f t="shared" si="1"/>
        <v>0</v>
      </c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7"/>
      <c r="B312" s="7"/>
      <c r="C312" s="7"/>
      <c r="D312" s="7"/>
      <c r="E312" s="7"/>
      <c r="F312" s="7"/>
      <c r="G312" s="18">
        <f t="shared" si="1"/>
        <v>0</v>
      </c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7"/>
      <c r="B313" s="7"/>
      <c r="C313" s="7"/>
      <c r="D313" s="7"/>
      <c r="E313" s="7"/>
      <c r="F313" s="7"/>
      <c r="G313" s="18">
        <f t="shared" si="1"/>
        <v>0</v>
      </c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7"/>
      <c r="B314" s="7"/>
      <c r="C314" s="7"/>
      <c r="D314" s="7"/>
      <c r="E314" s="7"/>
      <c r="F314" s="7"/>
      <c r="G314" s="18">
        <f t="shared" si="1"/>
        <v>0</v>
      </c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7"/>
      <c r="B315" s="7"/>
      <c r="C315" s="7"/>
      <c r="D315" s="7"/>
      <c r="E315" s="7"/>
      <c r="F315" s="7"/>
      <c r="G315" s="18">
        <f t="shared" si="1"/>
        <v>0</v>
      </c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7"/>
      <c r="B316" s="7"/>
      <c r="C316" s="7"/>
      <c r="D316" s="7"/>
      <c r="E316" s="7"/>
      <c r="F316" s="7"/>
      <c r="G316" s="18">
        <f t="shared" si="1"/>
        <v>0</v>
      </c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7"/>
      <c r="B317" s="7"/>
      <c r="C317" s="7"/>
      <c r="D317" s="7"/>
      <c r="E317" s="7"/>
      <c r="F317" s="7"/>
      <c r="G317" s="18">
        <f t="shared" si="1"/>
        <v>0</v>
      </c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7"/>
      <c r="B318" s="7"/>
      <c r="C318" s="7"/>
      <c r="D318" s="7"/>
      <c r="E318" s="7"/>
      <c r="F318" s="7"/>
      <c r="G318" s="18">
        <f t="shared" si="1"/>
        <v>0</v>
      </c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7"/>
      <c r="B319" s="7"/>
      <c r="C319" s="7"/>
      <c r="D319" s="7"/>
      <c r="E319" s="7"/>
      <c r="F319" s="7"/>
      <c r="G319" s="18">
        <f t="shared" si="1"/>
        <v>0</v>
      </c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7"/>
      <c r="B320" s="7"/>
      <c r="C320" s="7"/>
      <c r="D320" s="7"/>
      <c r="E320" s="7"/>
      <c r="F320" s="7"/>
      <c r="G320" s="18">
        <f t="shared" si="1"/>
        <v>0</v>
      </c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7"/>
      <c r="B321" s="7"/>
      <c r="C321" s="7"/>
      <c r="D321" s="7"/>
      <c r="E321" s="7"/>
      <c r="F321" s="7"/>
      <c r="G321" s="18">
        <f t="shared" si="1"/>
        <v>0</v>
      </c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7"/>
      <c r="B322" s="7"/>
      <c r="C322" s="7"/>
      <c r="D322" s="7"/>
      <c r="E322" s="7"/>
      <c r="F322" s="7"/>
      <c r="G322" s="18">
        <f t="shared" si="1"/>
        <v>0</v>
      </c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7"/>
      <c r="B323" s="7"/>
      <c r="C323" s="7"/>
      <c r="D323" s="7"/>
      <c r="E323" s="7"/>
      <c r="F323" s="7"/>
      <c r="G323" s="18">
        <f t="shared" si="1"/>
        <v>0</v>
      </c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7"/>
      <c r="B324" s="7"/>
      <c r="C324" s="7"/>
      <c r="D324" s="7"/>
      <c r="E324" s="7"/>
      <c r="F324" s="7"/>
      <c r="G324" s="18">
        <f t="shared" si="1"/>
        <v>0</v>
      </c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7"/>
      <c r="B325" s="7"/>
      <c r="C325" s="7"/>
      <c r="D325" s="7"/>
      <c r="E325" s="7"/>
      <c r="F325" s="7"/>
      <c r="G325" s="18">
        <f t="shared" si="1"/>
        <v>0</v>
      </c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7"/>
      <c r="B326" s="7"/>
      <c r="C326" s="7"/>
      <c r="D326" s="7"/>
      <c r="E326" s="7"/>
      <c r="F326" s="7"/>
      <c r="G326" s="18">
        <f t="shared" si="1"/>
        <v>0</v>
      </c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7"/>
      <c r="B327" s="7"/>
      <c r="C327" s="7"/>
      <c r="D327" s="7"/>
      <c r="E327" s="7"/>
      <c r="F327" s="7"/>
      <c r="G327" s="18">
        <f t="shared" si="1"/>
        <v>0</v>
      </c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7"/>
      <c r="B328" s="7"/>
      <c r="C328" s="7"/>
      <c r="D328" s="7"/>
      <c r="E328" s="7"/>
      <c r="F328" s="7"/>
      <c r="G328" s="18">
        <f t="shared" si="1"/>
        <v>0</v>
      </c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7"/>
      <c r="B329" s="7"/>
      <c r="C329" s="7"/>
      <c r="D329" s="7"/>
      <c r="E329" s="7"/>
      <c r="F329" s="7"/>
      <c r="G329" s="18">
        <f t="shared" si="1"/>
        <v>0</v>
      </c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7"/>
      <c r="B330" s="7"/>
      <c r="C330" s="7"/>
      <c r="D330" s="7"/>
      <c r="E330" s="7"/>
      <c r="F330" s="7"/>
      <c r="G330" s="18">
        <f t="shared" si="1"/>
        <v>0</v>
      </c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7"/>
      <c r="B331" s="7"/>
      <c r="C331" s="7"/>
      <c r="D331" s="7"/>
      <c r="E331" s="7"/>
      <c r="F331" s="7"/>
      <c r="G331" s="18">
        <f t="shared" si="1"/>
        <v>0</v>
      </c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7"/>
      <c r="B332" s="7"/>
      <c r="C332" s="7"/>
      <c r="D332" s="7"/>
      <c r="E332" s="7"/>
      <c r="F332" s="7"/>
      <c r="G332" s="18">
        <f t="shared" si="1"/>
        <v>0</v>
      </c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7"/>
      <c r="B333" s="7"/>
      <c r="C333" s="7"/>
      <c r="D333" s="7"/>
      <c r="E333" s="7"/>
      <c r="F333" s="7"/>
      <c r="G333" s="18">
        <f t="shared" si="1"/>
        <v>0</v>
      </c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7"/>
      <c r="B334" s="7"/>
      <c r="C334" s="7"/>
      <c r="D334" s="7"/>
      <c r="E334" s="7"/>
      <c r="F334" s="7"/>
      <c r="G334" s="18">
        <f t="shared" si="1"/>
        <v>0</v>
      </c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7"/>
      <c r="B335" s="7"/>
      <c r="C335" s="7"/>
      <c r="D335" s="7"/>
      <c r="E335" s="7"/>
      <c r="F335" s="7"/>
      <c r="G335" s="18">
        <f t="shared" si="1"/>
        <v>0</v>
      </c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7"/>
      <c r="B336" s="7"/>
      <c r="C336" s="7"/>
      <c r="D336" s="7"/>
      <c r="E336" s="7"/>
      <c r="F336" s="7"/>
      <c r="G336" s="18">
        <f t="shared" si="1"/>
        <v>0</v>
      </c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7"/>
      <c r="B337" s="7"/>
      <c r="C337" s="7"/>
      <c r="D337" s="7"/>
      <c r="E337" s="7"/>
      <c r="F337" s="7"/>
      <c r="G337" s="18">
        <f t="shared" si="1"/>
        <v>0</v>
      </c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7"/>
      <c r="B338" s="7"/>
      <c r="C338" s="7"/>
      <c r="D338" s="7"/>
      <c r="E338" s="7"/>
      <c r="F338" s="7"/>
      <c r="G338" s="18">
        <f t="shared" si="1"/>
        <v>0</v>
      </c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7"/>
      <c r="B339" s="7"/>
      <c r="C339" s="7"/>
      <c r="D339" s="7"/>
      <c r="E339" s="7"/>
      <c r="F339" s="7"/>
      <c r="G339" s="18">
        <f t="shared" si="1"/>
        <v>0</v>
      </c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7"/>
      <c r="B340" s="7"/>
      <c r="C340" s="7"/>
      <c r="D340" s="7"/>
      <c r="E340" s="7"/>
      <c r="F340" s="7"/>
      <c r="G340" s="18">
        <f t="shared" si="1"/>
        <v>0</v>
      </c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7"/>
      <c r="B341" s="7"/>
      <c r="C341" s="7"/>
      <c r="D341" s="7"/>
      <c r="E341" s="7"/>
      <c r="F341" s="7"/>
      <c r="G341" s="18">
        <f t="shared" si="1"/>
        <v>0</v>
      </c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7"/>
      <c r="B342" s="7"/>
      <c r="C342" s="7"/>
      <c r="D342" s="7"/>
      <c r="E342" s="7"/>
      <c r="F342" s="7"/>
      <c r="G342" s="18">
        <f t="shared" si="1"/>
        <v>0</v>
      </c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7"/>
      <c r="B343" s="7"/>
      <c r="C343" s="7"/>
      <c r="D343" s="7"/>
      <c r="E343" s="7"/>
      <c r="F343" s="7"/>
      <c r="G343" s="18">
        <f t="shared" si="1"/>
        <v>0</v>
      </c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7"/>
      <c r="B344" s="7"/>
      <c r="C344" s="7"/>
      <c r="D344" s="7"/>
      <c r="E344" s="7"/>
      <c r="F344" s="7"/>
      <c r="G344" s="18">
        <f t="shared" si="1"/>
        <v>0</v>
      </c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7"/>
      <c r="B345" s="7"/>
      <c r="C345" s="7"/>
      <c r="D345" s="7"/>
      <c r="E345" s="7"/>
      <c r="F345" s="7"/>
      <c r="G345" s="18">
        <f t="shared" si="1"/>
        <v>0</v>
      </c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7"/>
      <c r="B346" s="7"/>
      <c r="C346" s="7"/>
      <c r="D346" s="7"/>
      <c r="E346" s="7"/>
      <c r="F346" s="7"/>
      <c r="G346" s="18">
        <f t="shared" si="1"/>
        <v>0</v>
      </c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7"/>
      <c r="B347" s="7"/>
      <c r="C347" s="7"/>
      <c r="D347" s="7"/>
      <c r="E347" s="7"/>
      <c r="F347" s="7"/>
      <c r="G347" s="18">
        <f t="shared" si="1"/>
        <v>0</v>
      </c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7"/>
      <c r="B348" s="7"/>
      <c r="C348" s="7"/>
      <c r="D348" s="7"/>
      <c r="E348" s="7"/>
      <c r="F348" s="7"/>
      <c r="G348" s="18">
        <f t="shared" si="1"/>
        <v>0</v>
      </c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7"/>
      <c r="B349" s="7"/>
      <c r="C349" s="7"/>
      <c r="D349" s="7"/>
      <c r="E349" s="7"/>
      <c r="F349" s="7"/>
      <c r="G349" s="18">
        <f t="shared" si="1"/>
        <v>0</v>
      </c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7"/>
      <c r="B350" s="7"/>
      <c r="C350" s="7"/>
      <c r="D350" s="7"/>
      <c r="E350" s="7"/>
      <c r="F350" s="7"/>
      <c r="G350" s="18">
        <f t="shared" si="1"/>
        <v>0</v>
      </c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7"/>
      <c r="B351" s="7"/>
      <c r="C351" s="7"/>
      <c r="D351" s="7"/>
      <c r="E351" s="7"/>
      <c r="F351" s="7"/>
      <c r="G351" s="18">
        <f t="shared" si="1"/>
        <v>0</v>
      </c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7"/>
      <c r="B352" s="7"/>
      <c r="C352" s="7"/>
      <c r="D352" s="7"/>
      <c r="E352" s="7"/>
      <c r="F352" s="7"/>
      <c r="G352" s="18">
        <f t="shared" si="1"/>
        <v>0</v>
      </c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7"/>
      <c r="B353" s="7"/>
      <c r="C353" s="7"/>
      <c r="D353" s="7"/>
      <c r="E353" s="7"/>
      <c r="F353" s="7"/>
      <c r="G353" s="18">
        <f t="shared" si="1"/>
        <v>0</v>
      </c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7"/>
      <c r="B354" s="7"/>
      <c r="C354" s="7"/>
      <c r="D354" s="7"/>
      <c r="E354" s="7"/>
      <c r="F354" s="7"/>
      <c r="G354" s="18">
        <f t="shared" si="1"/>
        <v>0</v>
      </c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7"/>
      <c r="B355" s="7"/>
      <c r="C355" s="7"/>
      <c r="D355" s="7"/>
      <c r="E355" s="7"/>
      <c r="F355" s="7"/>
      <c r="G355" s="18">
        <f t="shared" si="1"/>
        <v>0</v>
      </c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7"/>
      <c r="B356" s="7"/>
      <c r="C356" s="7"/>
      <c r="D356" s="7"/>
      <c r="E356" s="7"/>
      <c r="F356" s="7"/>
      <c r="G356" s="18">
        <f t="shared" si="1"/>
        <v>0</v>
      </c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7"/>
      <c r="B357" s="7"/>
      <c r="C357" s="7"/>
      <c r="D357" s="7"/>
      <c r="E357" s="7"/>
      <c r="F357" s="7"/>
      <c r="G357" s="18">
        <f t="shared" si="1"/>
        <v>0</v>
      </c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7"/>
      <c r="B358" s="7"/>
      <c r="C358" s="7"/>
      <c r="D358" s="7"/>
      <c r="E358" s="7"/>
      <c r="F358" s="7"/>
      <c r="G358" s="18">
        <f t="shared" si="1"/>
        <v>0</v>
      </c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7"/>
      <c r="B359" s="7"/>
      <c r="C359" s="7"/>
      <c r="D359" s="7"/>
      <c r="E359" s="7"/>
      <c r="F359" s="7"/>
      <c r="G359" s="18">
        <f t="shared" si="1"/>
        <v>0</v>
      </c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7"/>
      <c r="B360" s="7"/>
      <c r="C360" s="7"/>
      <c r="D360" s="7"/>
      <c r="E360" s="7"/>
      <c r="F360" s="7"/>
      <c r="G360" s="18">
        <f t="shared" si="1"/>
        <v>0</v>
      </c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7"/>
      <c r="B361" s="7"/>
      <c r="C361" s="7"/>
      <c r="D361" s="7"/>
      <c r="E361" s="7"/>
      <c r="F361" s="7"/>
      <c r="G361" s="18">
        <f t="shared" si="1"/>
        <v>0</v>
      </c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7"/>
      <c r="B362" s="7"/>
      <c r="C362" s="7"/>
      <c r="D362" s="7"/>
      <c r="E362" s="7"/>
      <c r="F362" s="7"/>
      <c r="G362" s="18">
        <f t="shared" si="1"/>
        <v>0</v>
      </c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7"/>
      <c r="B363" s="7"/>
      <c r="C363" s="7"/>
      <c r="D363" s="7"/>
      <c r="E363" s="7"/>
      <c r="F363" s="7"/>
      <c r="G363" s="18">
        <f t="shared" si="1"/>
        <v>0</v>
      </c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7"/>
      <c r="B364" s="7"/>
      <c r="C364" s="7"/>
      <c r="D364" s="7"/>
      <c r="E364" s="7"/>
      <c r="F364" s="7"/>
      <c r="G364" s="18">
        <f t="shared" si="1"/>
        <v>0</v>
      </c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7"/>
      <c r="B365" s="7"/>
      <c r="C365" s="7"/>
      <c r="D365" s="7"/>
      <c r="E365" s="7"/>
      <c r="F365" s="7"/>
      <c r="G365" s="18">
        <f t="shared" si="1"/>
        <v>0</v>
      </c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7"/>
      <c r="B366" s="7"/>
      <c r="C366" s="7"/>
      <c r="D366" s="7"/>
      <c r="E366" s="7"/>
      <c r="F366" s="7"/>
      <c r="G366" s="18">
        <f t="shared" si="1"/>
        <v>0</v>
      </c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7"/>
      <c r="B367" s="7"/>
      <c r="C367" s="7"/>
      <c r="D367" s="7"/>
      <c r="E367" s="7"/>
      <c r="F367" s="7"/>
      <c r="G367" s="18">
        <f t="shared" si="1"/>
        <v>0</v>
      </c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7"/>
      <c r="B368" s="7"/>
      <c r="C368" s="7"/>
      <c r="D368" s="7"/>
      <c r="E368" s="7"/>
      <c r="F368" s="7"/>
      <c r="G368" s="18">
        <f t="shared" si="1"/>
        <v>0</v>
      </c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7"/>
      <c r="B369" s="7"/>
      <c r="C369" s="7"/>
      <c r="D369" s="7"/>
      <c r="E369" s="7"/>
      <c r="F369" s="7"/>
      <c r="G369" s="18">
        <f t="shared" si="1"/>
        <v>0</v>
      </c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7"/>
      <c r="B370" s="7"/>
      <c r="C370" s="7"/>
      <c r="D370" s="7"/>
      <c r="E370" s="7"/>
      <c r="F370" s="7"/>
      <c r="G370" s="18">
        <f t="shared" si="1"/>
        <v>0</v>
      </c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7"/>
      <c r="B371" s="7"/>
      <c r="C371" s="7"/>
      <c r="D371" s="7"/>
      <c r="E371" s="7"/>
      <c r="F371" s="7"/>
      <c r="G371" s="18">
        <f t="shared" si="1"/>
        <v>0</v>
      </c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7"/>
      <c r="B372" s="7"/>
      <c r="C372" s="7"/>
      <c r="D372" s="7"/>
      <c r="E372" s="7"/>
      <c r="F372" s="7"/>
      <c r="G372" s="18">
        <f t="shared" si="1"/>
        <v>0</v>
      </c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7"/>
      <c r="B373" s="7"/>
      <c r="C373" s="7"/>
      <c r="D373" s="7"/>
      <c r="E373" s="7"/>
      <c r="F373" s="7"/>
      <c r="G373" s="18">
        <f t="shared" si="1"/>
        <v>0</v>
      </c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7"/>
      <c r="B374" s="7"/>
      <c r="C374" s="7"/>
      <c r="D374" s="7"/>
      <c r="E374" s="7"/>
      <c r="F374" s="7"/>
      <c r="G374" s="18">
        <f t="shared" si="1"/>
        <v>0</v>
      </c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7"/>
      <c r="B375" s="7"/>
      <c r="C375" s="7"/>
      <c r="D375" s="7"/>
      <c r="E375" s="7"/>
      <c r="F375" s="7"/>
      <c r="G375" s="18">
        <f t="shared" si="1"/>
        <v>0</v>
      </c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7"/>
      <c r="B376" s="7"/>
      <c r="C376" s="7"/>
      <c r="D376" s="7"/>
      <c r="E376" s="7"/>
      <c r="F376" s="7"/>
      <c r="G376" s="18">
        <f t="shared" si="1"/>
        <v>0</v>
      </c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7"/>
      <c r="B377" s="7"/>
      <c r="C377" s="7"/>
      <c r="D377" s="7"/>
      <c r="E377" s="7"/>
      <c r="F377" s="7"/>
      <c r="G377" s="18">
        <f t="shared" si="1"/>
        <v>0</v>
      </c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7"/>
      <c r="B378" s="7"/>
      <c r="C378" s="7"/>
      <c r="D378" s="7"/>
      <c r="E378" s="7"/>
      <c r="F378" s="7"/>
      <c r="G378" s="18">
        <f t="shared" si="1"/>
        <v>0</v>
      </c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7"/>
      <c r="B379" s="7"/>
      <c r="C379" s="7"/>
      <c r="D379" s="7"/>
      <c r="E379" s="7"/>
      <c r="F379" s="7"/>
      <c r="G379" s="18">
        <f t="shared" si="1"/>
        <v>0</v>
      </c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7"/>
      <c r="B380" s="7"/>
      <c r="C380" s="7"/>
      <c r="D380" s="7"/>
      <c r="E380" s="7"/>
      <c r="F380" s="7"/>
      <c r="G380" s="18">
        <f t="shared" si="1"/>
        <v>0</v>
      </c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7"/>
      <c r="B381" s="7"/>
      <c r="C381" s="7"/>
      <c r="D381" s="7"/>
      <c r="E381" s="7"/>
      <c r="F381" s="7"/>
      <c r="G381" s="18">
        <f t="shared" si="1"/>
        <v>0</v>
      </c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7"/>
      <c r="B382" s="7"/>
      <c r="C382" s="7"/>
      <c r="D382" s="7"/>
      <c r="E382" s="7"/>
      <c r="F382" s="7"/>
      <c r="G382" s="18">
        <f t="shared" si="1"/>
        <v>0</v>
      </c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7"/>
      <c r="B383" s="7"/>
      <c r="C383" s="7"/>
      <c r="D383" s="7"/>
      <c r="E383" s="7"/>
      <c r="F383" s="7"/>
      <c r="G383" s="18">
        <f t="shared" si="1"/>
        <v>0</v>
      </c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7"/>
      <c r="B384" s="7"/>
      <c r="C384" s="7"/>
      <c r="D384" s="7"/>
      <c r="E384" s="7"/>
      <c r="F384" s="7"/>
      <c r="G384" s="18">
        <f t="shared" si="1"/>
        <v>0</v>
      </c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7"/>
      <c r="B385" s="7"/>
      <c r="C385" s="7"/>
      <c r="D385" s="7"/>
      <c r="E385" s="7"/>
      <c r="F385" s="7"/>
      <c r="G385" s="18">
        <f t="shared" si="1"/>
        <v>0</v>
      </c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7"/>
      <c r="B386" s="7"/>
      <c r="C386" s="7"/>
      <c r="D386" s="7"/>
      <c r="E386" s="7"/>
      <c r="F386" s="7"/>
      <c r="G386" s="18">
        <f t="shared" si="1"/>
        <v>0</v>
      </c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7"/>
      <c r="B387" s="7"/>
      <c r="C387" s="7"/>
      <c r="D387" s="7"/>
      <c r="E387" s="7"/>
      <c r="F387" s="7"/>
      <c r="G387" s="18">
        <f t="shared" si="1"/>
        <v>0</v>
      </c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7"/>
      <c r="B388" s="7"/>
      <c r="C388" s="7"/>
      <c r="D388" s="7"/>
      <c r="E388" s="7"/>
      <c r="F388" s="7"/>
      <c r="G388" s="18">
        <f t="shared" si="1"/>
        <v>0</v>
      </c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7"/>
      <c r="B389" s="7"/>
      <c r="C389" s="7"/>
      <c r="D389" s="7"/>
      <c r="E389" s="7"/>
      <c r="F389" s="7"/>
      <c r="G389" s="18">
        <f t="shared" si="1"/>
        <v>0</v>
      </c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7"/>
      <c r="B390" s="7"/>
      <c r="C390" s="7"/>
      <c r="D390" s="7"/>
      <c r="E390" s="7"/>
      <c r="F390" s="7"/>
      <c r="G390" s="18">
        <f t="shared" si="1"/>
        <v>0</v>
      </c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7"/>
      <c r="B391" s="7"/>
      <c r="C391" s="7"/>
      <c r="D391" s="7"/>
      <c r="E391" s="7"/>
      <c r="F391" s="7"/>
      <c r="G391" s="18">
        <f t="shared" si="1"/>
        <v>0</v>
      </c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7"/>
      <c r="B392" s="7"/>
      <c r="C392" s="7"/>
      <c r="D392" s="7"/>
      <c r="E392" s="7"/>
      <c r="F392" s="7"/>
      <c r="G392" s="18">
        <f t="shared" si="1"/>
        <v>0</v>
      </c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7"/>
      <c r="B393" s="7"/>
      <c r="C393" s="7"/>
      <c r="D393" s="7"/>
      <c r="E393" s="7"/>
      <c r="F393" s="7"/>
      <c r="G393" s="18">
        <f t="shared" si="1"/>
        <v>0</v>
      </c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7"/>
      <c r="B394" s="7"/>
      <c r="C394" s="7"/>
      <c r="D394" s="7"/>
      <c r="E394" s="7"/>
      <c r="F394" s="7"/>
      <c r="G394" s="18">
        <f t="shared" si="1"/>
        <v>0</v>
      </c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7"/>
      <c r="B395" s="7"/>
      <c r="C395" s="7"/>
      <c r="D395" s="7"/>
      <c r="E395" s="7"/>
      <c r="F395" s="7"/>
      <c r="G395" s="18">
        <f t="shared" si="1"/>
        <v>0</v>
      </c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7"/>
      <c r="B396" s="7"/>
      <c r="C396" s="7"/>
      <c r="D396" s="7"/>
      <c r="E396" s="7"/>
      <c r="F396" s="7"/>
      <c r="G396" s="18">
        <f t="shared" si="1"/>
        <v>0</v>
      </c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7"/>
      <c r="B397" s="7"/>
      <c r="C397" s="7"/>
      <c r="D397" s="7"/>
      <c r="E397" s="7"/>
      <c r="F397" s="7"/>
      <c r="G397" s="18">
        <f t="shared" si="1"/>
        <v>0</v>
      </c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7"/>
      <c r="B398" s="7"/>
      <c r="C398" s="7"/>
      <c r="D398" s="7"/>
      <c r="E398" s="7"/>
      <c r="F398" s="7"/>
      <c r="G398" s="18">
        <f t="shared" si="1"/>
        <v>0</v>
      </c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7"/>
      <c r="B399" s="7"/>
      <c r="C399" s="7"/>
      <c r="D399" s="7"/>
      <c r="E399" s="7"/>
      <c r="F399" s="7"/>
      <c r="G399" s="18">
        <f t="shared" si="1"/>
        <v>0</v>
      </c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7"/>
      <c r="B400" s="7"/>
      <c r="C400" s="7"/>
      <c r="D400" s="7"/>
      <c r="E400" s="7"/>
      <c r="F400" s="7"/>
      <c r="G400" s="18">
        <f t="shared" si="1"/>
        <v>0</v>
      </c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7"/>
      <c r="B401" s="7"/>
      <c r="C401" s="7"/>
      <c r="D401" s="7"/>
      <c r="E401" s="7"/>
      <c r="F401" s="7"/>
      <c r="G401" s="18">
        <f t="shared" si="1"/>
        <v>0</v>
      </c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7"/>
      <c r="B402" s="7"/>
      <c r="C402" s="7"/>
      <c r="D402" s="7"/>
      <c r="E402" s="7"/>
      <c r="F402" s="7"/>
      <c r="G402" s="18">
        <f t="shared" si="1"/>
        <v>0</v>
      </c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7"/>
      <c r="B403" s="7"/>
      <c r="C403" s="7"/>
      <c r="D403" s="7"/>
      <c r="E403" s="7"/>
      <c r="F403" s="7"/>
      <c r="G403" s="18">
        <f t="shared" si="1"/>
        <v>0</v>
      </c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7"/>
      <c r="B404" s="7"/>
      <c r="C404" s="7"/>
      <c r="D404" s="7"/>
      <c r="E404" s="7"/>
      <c r="F404" s="7"/>
      <c r="G404" s="18">
        <f t="shared" si="1"/>
        <v>0</v>
      </c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7"/>
      <c r="B405" s="7"/>
      <c r="C405" s="7"/>
      <c r="D405" s="7"/>
      <c r="E405" s="7"/>
      <c r="F405" s="7"/>
      <c r="G405" s="18">
        <f t="shared" si="1"/>
        <v>0</v>
      </c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7"/>
      <c r="B406" s="7"/>
      <c r="C406" s="7"/>
      <c r="D406" s="7"/>
      <c r="E406" s="7"/>
      <c r="F406" s="7"/>
      <c r="G406" s="18">
        <f t="shared" si="1"/>
        <v>0</v>
      </c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7"/>
      <c r="B407" s="7"/>
      <c r="C407" s="7"/>
      <c r="D407" s="7"/>
      <c r="E407" s="7"/>
      <c r="F407" s="7"/>
      <c r="G407" s="18">
        <f t="shared" si="1"/>
        <v>0</v>
      </c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7"/>
      <c r="B408" s="7"/>
      <c r="C408" s="7"/>
      <c r="D408" s="7"/>
      <c r="E408" s="7"/>
      <c r="F408" s="7"/>
      <c r="G408" s="18">
        <f t="shared" si="1"/>
        <v>0</v>
      </c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7"/>
      <c r="B409" s="7"/>
      <c r="C409" s="7"/>
      <c r="D409" s="7"/>
      <c r="E409" s="7"/>
      <c r="F409" s="7"/>
      <c r="G409" s="18">
        <f t="shared" si="1"/>
        <v>0</v>
      </c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7"/>
      <c r="B410" s="7"/>
      <c r="C410" s="7"/>
      <c r="D410" s="7"/>
      <c r="E410" s="7"/>
      <c r="F410" s="7"/>
      <c r="G410" s="18">
        <f t="shared" si="1"/>
        <v>0</v>
      </c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7"/>
      <c r="B411" s="7"/>
      <c r="C411" s="7"/>
      <c r="D411" s="7"/>
      <c r="E411" s="7"/>
      <c r="F411" s="7"/>
      <c r="G411" s="18">
        <f t="shared" si="1"/>
        <v>0</v>
      </c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7"/>
      <c r="B412" s="7"/>
      <c r="C412" s="7"/>
      <c r="D412" s="7"/>
      <c r="E412" s="7"/>
      <c r="F412" s="7"/>
      <c r="G412" s="18">
        <f t="shared" si="1"/>
        <v>0</v>
      </c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7"/>
      <c r="B413" s="7"/>
      <c r="C413" s="7"/>
      <c r="D413" s="7"/>
      <c r="E413" s="7"/>
      <c r="F413" s="7"/>
      <c r="G413" s="18">
        <f t="shared" si="1"/>
        <v>0</v>
      </c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7"/>
      <c r="B414" s="7"/>
      <c r="C414" s="7"/>
      <c r="D414" s="7"/>
      <c r="E414" s="7"/>
      <c r="F414" s="7"/>
      <c r="G414" s="18">
        <f t="shared" si="1"/>
        <v>0</v>
      </c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7"/>
      <c r="B415" s="7"/>
      <c r="C415" s="7"/>
      <c r="D415" s="7"/>
      <c r="E415" s="7"/>
      <c r="F415" s="7"/>
      <c r="G415" s="18">
        <f t="shared" si="1"/>
        <v>0</v>
      </c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7"/>
      <c r="B416" s="7"/>
      <c r="C416" s="7"/>
      <c r="D416" s="7"/>
      <c r="E416" s="7"/>
      <c r="F416" s="7"/>
      <c r="G416" s="18">
        <f t="shared" si="1"/>
        <v>0</v>
      </c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7"/>
      <c r="B417" s="7"/>
      <c r="C417" s="7"/>
      <c r="D417" s="7"/>
      <c r="E417" s="7"/>
      <c r="F417" s="7"/>
      <c r="G417" s="18">
        <f t="shared" si="1"/>
        <v>0</v>
      </c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7"/>
      <c r="B418" s="7"/>
      <c r="C418" s="7"/>
      <c r="D418" s="7"/>
      <c r="E418" s="7"/>
      <c r="F418" s="7"/>
      <c r="G418" s="18">
        <f t="shared" si="1"/>
        <v>0</v>
      </c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7"/>
      <c r="B419" s="7"/>
      <c r="C419" s="7"/>
      <c r="D419" s="7"/>
      <c r="E419" s="7"/>
      <c r="F419" s="7"/>
      <c r="G419" s="18">
        <f t="shared" si="1"/>
        <v>0</v>
      </c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7"/>
      <c r="B420" s="7"/>
      <c r="C420" s="7"/>
      <c r="D420" s="7"/>
      <c r="E420" s="7"/>
      <c r="F420" s="7"/>
      <c r="G420" s="18">
        <f t="shared" si="1"/>
        <v>0</v>
      </c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7"/>
      <c r="B421" s="7"/>
      <c r="C421" s="7"/>
      <c r="D421" s="7"/>
      <c r="E421" s="7"/>
      <c r="F421" s="7"/>
      <c r="G421" s="18">
        <f t="shared" si="1"/>
        <v>0</v>
      </c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7"/>
      <c r="B422" s="7"/>
      <c r="C422" s="7"/>
      <c r="D422" s="7"/>
      <c r="E422" s="7"/>
      <c r="F422" s="7"/>
      <c r="G422" s="18">
        <f t="shared" si="1"/>
        <v>0</v>
      </c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7"/>
      <c r="B423" s="7"/>
      <c r="C423" s="7"/>
      <c r="D423" s="7"/>
      <c r="E423" s="7"/>
      <c r="F423" s="7"/>
      <c r="G423" s="18">
        <f t="shared" si="1"/>
        <v>0</v>
      </c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7"/>
      <c r="B424" s="7"/>
      <c r="C424" s="7"/>
      <c r="D424" s="7"/>
      <c r="E424" s="7"/>
      <c r="F424" s="7"/>
      <c r="G424" s="18">
        <f t="shared" si="1"/>
        <v>0</v>
      </c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7"/>
      <c r="B425" s="7"/>
      <c r="C425" s="7"/>
      <c r="D425" s="7"/>
      <c r="E425" s="7"/>
      <c r="F425" s="7"/>
      <c r="G425" s="18">
        <f t="shared" si="1"/>
        <v>0</v>
      </c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7"/>
      <c r="B426" s="7"/>
      <c r="C426" s="7"/>
      <c r="D426" s="7"/>
      <c r="E426" s="7"/>
      <c r="F426" s="7"/>
      <c r="G426" s="18">
        <f t="shared" si="1"/>
        <v>0</v>
      </c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7"/>
      <c r="B427" s="7"/>
      <c r="C427" s="7"/>
      <c r="D427" s="7"/>
      <c r="E427" s="7"/>
      <c r="F427" s="7"/>
      <c r="G427" s="18">
        <f t="shared" si="1"/>
        <v>0</v>
      </c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7"/>
      <c r="B428" s="7"/>
      <c r="C428" s="7"/>
      <c r="D428" s="7"/>
      <c r="E428" s="7"/>
      <c r="F428" s="7"/>
      <c r="G428" s="18">
        <f t="shared" si="1"/>
        <v>0</v>
      </c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7"/>
      <c r="B429" s="7"/>
      <c r="C429" s="7"/>
      <c r="D429" s="7"/>
      <c r="E429" s="7"/>
      <c r="F429" s="7"/>
      <c r="G429" s="18">
        <f t="shared" si="1"/>
        <v>0</v>
      </c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7"/>
      <c r="B430" s="7"/>
      <c r="C430" s="7"/>
      <c r="D430" s="7"/>
      <c r="E430" s="7"/>
      <c r="F430" s="7"/>
      <c r="G430" s="18">
        <f t="shared" si="1"/>
        <v>0</v>
      </c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7"/>
      <c r="B431" s="7"/>
      <c r="C431" s="7"/>
      <c r="D431" s="7"/>
      <c r="E431" s="7"/>
      <c r="F431" s="7"/>
      <c r="G431" s="18">
        <f t="shared" si="1"/>
        <v>0</v>
      </c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7"/>
      <c r="B432" s="7"/>
      <c r="C432" s="7"/>
      <c r="D432" s="7"/>
      <c r="E432" s="7"/>
      <c r="F432" s="7"/>
      <c r="G432" s="18">
        <f t="shared" si="1"/>
        <v>0</v>
      </c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7"/>
      <c r="B433" s="7"/>
      <c r="C433" s="7"/>
      <c r="D433" s="7"/>
      <c r="E433" s="7"/>
      <c r="F433" s="7"/>
      <c r="G433" s="18">
        <f t="shared" si="1"/>
        <v>0</v>
      </c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7"/>
      <c r="B434" s="7"/>
      <c r="C434" s="7"/>
      <c r="D434" s="7"/>
      <c r="E434" s="7"/>
      <c r="F434" s="7"/>
      <c r="G434" s="18">
        <f t="shared" si="1"/>
        <v>0</v>
      </c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7"/>
      <c r="B435" s="7"/>
      <c r="C435" s="7"/>
      <c r="D435" s="7"/>
      <c r="E435" s="7"/>
      <c r="F435" s="7"/>
      <c r="G435" s="18">
        <f t="shared" si="1"/>
        <v>0</v>
      </c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7"/>
      <c r="B436" s="7"/>
      <c r="C436" s="7"/>
      <c r="D436" s="7"/>
      <c r="E436" s="7"/>
      <c r="F436" s="7"/>
      <c r="G436" s="18">
        <f t="shared" si="1"/>
        <v>0</v>
      </c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7"/>
      <c r="B437" s="7"/>
      <c r="C437" s="7"/>
      <c r="D437" s="7"/>
      <c r="E437" s="7"/>
      <c r="F437" s="7"/>
      <c r="G437" s="18">
        <f t="shared" si="1"/>
        <v>0</v>
      </c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7"/>
      <c r="B438" s="7"/>
      <c r="C438" s="7"/>
      <c r="D438" s="7"/>
      <c r="E438" s="7"/>
      <c r="F438" s="7"/>
      <c r="G438" s="18">
        <f t="shared" si="1"/>
        <v>0</v>
      </c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7"/>
      <c r="B439" s="7"/>
      <c r="C439" s="7"/>
      <c r="D439" s="7"/>
      <c r="E439" s="7"/>
      <c r="F439" s="7"/>
      <c r="G439" s="18">
        <f t="shared" si="1"/>
        <v>0</v>
      </c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7"/>
      <c r="B440" s="7"/>
      <c r="C440" s="7"/>
      <c r="D440" s="7"/>
      <c r="E440" s="7"/>
      <c r="F440" s="7"/>
      <c r="G440" s="18">
        <f t="shared" si="1"/>
        <v>0</v>
      </c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7"/>
      <c r="B441" s="7"/>
      <c r="C441" s="7"/>
      <c r="D441" s="7"/>
      <c r="E441" s="7"/>
      <c r="F441" s="7"/>
      <c r="G441" s="18">
        <f t="shared" si="1"/>
        <v>0</v>
      </c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7"/>
      <c r="B442" s="7"/>
      <c r="C442" s="7"/>
      <c r="D442" s="7"/>
      <c r="E442" s="7"/>
      <c r="F442" s="7"/>
      <c r="G442" s="18">
        <f t="shared" si="1"/>
        <v>0</v>
      </c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7"/>
      <c r="B443" s="7"/>
      <c r="C443" s="7"/>
      <c r="D443" s="7"/>
      <c r="E443" s="7"/>
      <c r="F443" s="7"/>
      <c r="G443" s="18">
        <f t="shared" si="1"/>
        <v>0</v>
      </c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7"/>
      <c r="B444" s="7"/>
      <c r="C444" s="7"/>
      <c r="D444" s="7"/>
      <c r="E444" s="7"/>
      <c r="F444" s="7"/>
      <c r="G444" s="18">
        <f t="shared" si="1"/>
        <v>0</v>
      </c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7"/>
      <c r="B445" s="7"/>
      <c r="C445" s="7"/>
      <c r="D445" s="7"/>
      <c r="E445" s="7"/>
      <c r="F445" s="7"/>
      <c r="G445" s="18">
        <f t="shared" si="1"/>
        <v>0</v>
      </c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7"/>
      <c r="B446" s="7"/>
      <c r="C446" s="7"/>
      <c r="D446" s="7"/>
      <c r="E446" s="7"/>
      <c r="F446" s="7"/>
      <c r="G446" s="18">
        <f t="shared" si="1"/>
        <v>0</v>
      </c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7"/>
      <c r="B447" s="7"/>
      <c r="C447" s="7"/>
      <c r="D447" s="7"/>
      <c r="E447" s="7"/>
      <c r="F447" s="7"/>
      <c r="G447" s="18">
        <f t="shared" si="1"/>
        <v>0</v>
      </c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7"/>
      <c r="B448" s="7"/>
      <c r="C448" s="7"/>
      <c r="D448" s="7"/>
      <c r="E448" s="7"/>
      <c r="F448" s="7"/>
      <c r="G448" s="18">
        <f t="shared" si="1"/>
        <v>0</v>
      </c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7"/>
      <c r="B449" s="7"/>
      <c r="C449" s="7"/>
      <c r="D449" s="7"/>
      <c r="E449" s="7"/>
      <c r="F449" s="7"/>
      <c r="G449" s="18">
        <f t="shared" si="1"/>
        <v>0</v>
      </c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7"/>
      <c r="B450" s="7"/>
      <c r="C450" s="7"/>
      <c r="D450" s="7"/>
      <c r="E450" s="7"/>
      <c r="F450" s="7"/>
      <c r="G450" s="18">
        <f t="shared" si="1"/>
        <v>0</v>
      </c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7"/>
      <c r="B451" s="7"/>
      <c r="C451" s="7"/>
      <c r="D451" s="7"/>
      <c r="E451" s="7"/>
      <c r="F451" s="7"/>
      <c r="G451" s="18">
        <f t="shared" si="1"/>
        <v>0</v>
      </c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7"/>
      <c r="B452" s="7"/>
      <c r="C452" s="7"/>
      <c r="D452" s="7"/>
      <c r="E452" s="7"/>
      <c r="F452" s="7"/>
      <c r="G452" s="18">
        <f t="shared" si="1"/>
        <v>0</v>
      </c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7"/>
      <c r="B453" s="7"/>
      <c r="C453" s="7"/>
      <c r="D453" s="7"/>
      <c r="E453" s="7"/>
      <c r="F453" s="7"/>
      <c r="G453" s="18">
        <f t="shared" si="1"/>
        <v>0</v>
      </c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7"/>
      <c r="B454" s="7"/>
      <c r="C454" s="7"/>
      <c r="D454" s="7"/>
      <c r="E454" s="7"/>
      <c r="F454" s="7"/>
      <c r="G454" s="18">
        <f t="shared" si="1"/>
        <v>0</v>
      </c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7"/>
      <c r="B455" s="7"/>
      <c r="C455" s="7"/>
      <c r="D455" s="7"/>
      <c r="E455" s="7"/>
      <c r="F455" s="7"/>
      <c r="G455" s="18">
        <f t="shared" si="1"/>
        <v>0</v>
      </c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7"/>
      <c r="B456" s="7"/>
      <c r="C456" s="7"/>
      <c r="D456" s="7"/>
      <c r="E456" s="7"/>
      <c r="F456" s="7"/>
      <c r="G456" s="18">
        <f t="shared" si="1"/>
        <v>0</v>
      </c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7"/>
      <c r="B457" s="7"/>
      <c r="C457" s="7"/>
      <c r="D457" s="7"/>
      <c r="E457" s="7"/>
      <c r="F457" s="7"/>
      <c r="G457" s="18">
        <f t="shared" si="1"/>
        <v>0</v>
      </c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7"/>
      <c r="B458" s="7"/>
      <c r="C458" s="7"/>
      <c r="D458" s="7"/>
      <c r="E458" s="7"/>
      <c r="F458" s="7"/>
      <c r="G458" s="18">
        <f t="shared" si="1"/>
        <v>0</v>
      </c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7"/>
      <c r="B459" s="7"/>
      <c r="C459" s="7"/>
      <c r="D459" s="7"/>
      <c r="E459" s="7"/>
      <c r="F459" s="7"/>
      <c r="G459" s="18">
        <f t="shared" si="1"/>
        <v>0</v>
      </c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7"/>
      <c r="B460" s="7"/>
      <c r="C460" s="7"/>
      <c r="D460" s="7"/>
      <c r="E460" s="7"/>
      <c r="F460" s="7"/>
      <c r="G460" s="18">
        <f t="shared" si="1"/>
        <v>0</v>
      </c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7"/>
      <c r="B461" s="7"/>
      <c r="C461" s="7"/>
      <c r="D461" s="7"/>
      <c r="E461" s="7"/>
      <c r="F461" s="7"/>
      <c r="G461" s="18">
        <f t="shared" si="1"/>
        <v>0</v>
      </c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7"/>
      <c r="B462" s="7"/>
      <c r="C462" s="7"/>
      <c r="D462" s="7"/>
      <c r="E462" s="7"/>
      <c r="F462" s="7"/>
      <c r="G462" s="18">
        <f t="shared" si="1"/>
        <v>0</v>
      </c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7"/>
      <c r="B463" s="7"/>
      <c r="C463" s="7"/>
      <c r="D463" s="7"/>
      <c r="E463" s="7"/>
      <c r="F463" s="7"/>
      <c r="G463" s="18">
        <f t="shared" si="1"/>
        <v>0</v>
      </c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7"/>
      <c r="B464" s="7"/>
      <c r="C464" s="7"/>
      <c r="D464" s="7"/>
      <c r="E464" s="7"/>
      <c r="F464" s="7"/>
      <c r="G464" s="18">
        <f t="shared" si="1"/>
        <v>0</v>
      </c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7"/>
      <c r="B465" s="7"/>
      <c r="C465" s="7"/>
      <c r="D465" s="7"/>
      <c r="E465" s="7"/>
      <c r="F465" s="7"/>
      <c r="G465" s="18">
        <f t="shared" si="1"/>
        <v>0</v>
      </c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7"/>
      <c r="B466" s="7"/>
      <c r="C466" s="7"/>
      <c r="D466" s="7"/>
      <c r="E466" s="7"/>
      <c r="F466" s="7"/>
      <c r="G466" s="18">
        <f t="shared" si="1"/>
        <v>0</v>
      </c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7"/>
      <c r="B467" s="7"/>
      <c r="C467" s="7"/>
      <c r="D467" s="7"/>
      <c r="E467" s="7"/>
      <c r="F467" s="7"/>
      <c r="G467" s="18">
        <f t="shared" si="1"/>
        <v>0</v>
      </c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7"/>
      <c r="B468" s="7"/>
      <c r="C468" s="7"/>
      <c r="D468" s="7"/>
      <c r="E468" s="7"/>
      <c r="F468" s="7"/>
      <c r="G468" s="18">
        <f t="shared" si="1"/>
        <v>0</v>
      </c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7"/>
      <c r="B469" s="7"/>
      <c r="C469" s="7"/>
      <c r="D469" s="7"/>
      <c r="E469" s="7"/>
      <c r="F469" s="7"/>
      <c r="G469" s="18">
        <f t="shared" si="1"/>
        <v>0</v>
      </c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7"/>
      <c r="B470" s="7"/>
      <c r="C470" s="7"/>
      <c r="D470" s="7"/>
      <c r="E470" s="7"/>
      <c r="F470" s="7"/>
      <c r="G470" s="18">
        <f t="shared" si="1"/>
        <v>0</v>
      </c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7"/>
      <c r="B471" s="7"/>
      <c r="C471" s="7"/>
      <c r="D471" s="7"/>
      <c r="E471" s="7"/>
      <c r="F471" s="7"/>
      <c r="G471" s="18">
        <f t="shared" si="1"/>
        <v>0</v>
      </c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7"/>
      <c r="B472" s="7"/>
      <c r="C472" s="7"/>
      <c r="D472" s="7"/>
      <c r="E472" s="7"/>
      <c r="F472" s="7"/>
      <c r="G472" s="18">
        <f t="shared" si="1"/>
        <v>0</v>
      </c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7"/>
      <c r="B473" s="7"/>
      <c r="C473" s="7"/>
      <c r="D473" s="7"/>
      <c r="E473" s="7"/>
      <c r="F473" s="7"/>
      <c r="G473" s="18">
        <f t="shared" si="1"/>
        <v>0</v>
      </c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7"/>
      <c r="B474" s="7"/>
      <c r="C474" s="7"/>
      <c r="D474" s="7"/>
      <c r="E474" s="7"/>
      <c r="F474" s="7"/>
      <c r="G474" s="18">
        <f t="shared" si="1"/>
        <v>0</v>
      </c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7"/>
      <c r="B475" s="7"/>
      <c r="C475" s="7"/>
      <c r="D475" s="7"/>
      <c r="E475" s="7"/>
      <c r="F475" s="7"/>
      <c r="G475" s="18">
        <f t="shared" si="1"/>
        <v>0</v>
      </c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7"/>
      <c r="B476" s="7"/>
      <c r="C476" s="7"/>
      <c r="D476" s="7"/>
      <c r="E476" s="7"/>
      <c r="F476" s="7"/>
      <c r="G476" s="18">
        <f t="shared" si="1"/>
        <v>0</v>
      </c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7"/>
      <c r="B477" s="7"/>
      <c r="C477" s="7"/>
      <c r="D477" s="7"/>
      <c r="E477" s="7"/>
      <c r="F477" s="7"/>
      <c r="G477" s="18">
        <f t="shared" si="1"/>
        <v>0</v>
      </c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7"/>
      <c r="B478" s="7"/>
      <c r="C478" s="7"/>
      <c r="D478" s="7"/>
      <c r="E478" s="7"/>
      <c r="F478" s="7"/>
      <c r="G478" s="18">
        <f t="shared" si="1"/>
        <v>0</v>
      </c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7"/>
      <c r="B479" s="7"/>
      <c r="C479" s="7"/>
      <c r="D479" s="7"/>
      <c r="E479" s="7"/>
      <c r="F479" s="7"/>
      <c r="G479" s="18">
        <f t="shared" si="1"/>
        <v>0</v>
      </c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7"/>
      <c r="B480" s="7"/>
      <c r="C480" s="7"/>
      <c r="D480" s="7"/>
      <c r="E480" s="7"/>
      <c r="F480" s="7"/>
      <c r="G480" s="18">
        <f t="shared" si="1"/>
        <v>0</v>
      </c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7"/>
      <c r="B481" s="7"/>
      <c r="C481" s="7"/>
      <c r="D481" s="7"/>
      <c r="E481" s="7"/>
      <c r="F481" s="7"/>
      <c r="G481" s="18">
        <f t="shared" si="1"/>
        <v>0</v>
      </c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7"/>
      <c r="B482" s="7"/>
      <c r="C482" s="7"/>
      <c r="D482" s="7"/>
      <c r="E482" s="7"/>
      <c r="F482" s="7"/>
      <c r="G482" s="18">
        <f t="shared" si="1"/>
        <v>0</v>
      </c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7"/>
      <c r="B483" s="7"/>
      <c r="C483" s="7"/>
      <c r="D483" s="7"/>
      <c r="E483" s="7"/>
      <c r="F483" s="7"/>
      <c r="G483" s="18">
        <f t="shared" si="1"/>
        <v>0</v>
      </c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7"/>
      <c r="B484" s="7"/>
      <c r="C484" s="7"/>
      <c r="D484" s="7"/>
      <c r="E484" s="7"/>
      <c r="F484" s="7"/>
      <c r="G484" s="18">
        <f t="shared" si="1"/>
        <v>0</v>
      </c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7"/>
      <c r="B485" s="7"/>
      <c r="C485" s="7"/>
      <c r="D485" s="7"/>
      <c r="E485" s="7"/>
      <c r="F485" s="7"/>
      <c r="G485" s="18">
        <f t="shared" si="1"/>
        <v>0</v>
      </c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7"/>
      <c r="B486" s="7"/>
      <c r="C486" s="7"/>
      <c r="D486" s="7"/>
      <c r="E486" s="7"/>
      <c r="F486" s="7"/>
      <c r="G486" s="18">
        <f t="shared" si="1"/>
        <v>0</v>
      </c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7"/>
      <c r="B487" s="7"/>
      <c r="C487" s="7"/>
      <c r="D487" s="7"/>
      <c r="E487" s="7"/>
      <c r="F487" s="7"/>
      <c r="G487" s="18">
        <f t="shared" si="1"/>
        <v>0</v>
      </c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7"/>
      <c r="B488" s="7"/>
      <c r="C488" s="7"/>
      <c r="D488" s="7"/>
      <c r="E488" s="7"/>
      <c r="F488" s="7"/>
      <c r="G488" s="18">
        <f t="shared" si="1"/>
        <v>0</v>
      </c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7"/>
      <c r="B489" s="7"/>
      <c r="C489" s="7"/>
      <c r="D489" s="7"/>
      <c r="E489" s="7"/>
      <c r="F489" s="7"/>
      <c r="G489" s="18">
        <f t="shared" si="1"/>
        <v>0</v>
      </c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7"/>
      <c r="B490" s="7"/>
      <c r="C490" s="7"/>
      <c r="D490" s="7"/>
      <c r="E490" s="7"/>
      <c r="F490" s="7"/>
      <c r="G490" s="18">
        <f t="shared" si="1"/>
        <v>0</v>
      </c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7"/>
      <c r="B491" s="7"/>
      <c r="C491" s="7"/>
      <c r="D491" s="7"/>
      <c r="E491" s="7"/>
      <c r="F491" s="7"/>
      <c r="G491" s="18">
        <f t="shared" si="1"/>
        <v>0</v>
      </c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7"/>
      <c r="B492" s="7"/>
      <c r="C492" s="7"/>
      <c r="D492" s="7"/>
      <c r="E492" s="7"/>
      <c r="F492" s="7"/>
      <c r="G492" s="18">
        <f t="shared" si="1"/>
        <v>0</v>
      </c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7"/>
      <c r="B493" s="7"/>
      <c r="C493" s="7"/>
      <c r="D493" s="7"/>
      <c r="E493" s="7"/>
      <c r="F493" s="7"/>
      <c r="G493" s="18">
        <f t="shared" si="1"/>
        <v>0</v>
      </c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7"/>
      <c r="B494" s="7"/>
      <c r="C494" s="7"/>
      <c r="D494" s="7"/>
      <c r="E494" s="7"/>
      <c r="F494" s="7"/>
      <c r="G494" s="18">
        <f t="shared" si="1"/>
        <v>0</v>
      </c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7"/>
      <c r="B495" s="7"/>
      <c r="C495" s="7"/>
      <c r="D495" s="7"/>
      <c r="E495" s="7"/>
      <c r="F495" s="7"/>
      <c r="G495" s="18">
        <f t="shared" si="1"/>
        <v>0</v>
      </c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7"/>
      <c r="B496" s="7"/>
      <c r="C496" s="7"/>
      <c r="D496" s="7"/>
      <c r="E496" s="7"/>
      <c r="F496" s="7"/>
      <c r="G496" s="18">
        <f t="shared" si="1"/>
        <v>0</v>
      </c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7"/>
      <c r="B497" s="7"/>
      <c r="C497" s="7"/>
      <c r="D497" s="7"/>
      <c r="E497" s="7"/>
      <c r="F497" s="7"/>
      <c r="G497" s="18">
        <f t="shared" si="1"/>
        <v>0</v>
      </c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7"/>
      <c r="B498" s="7"/>
      <c r="C498" s="7"/>
      <c r="D498" s="7"/>
      <c r="E498" s="7"/>
      <c r="F498" s="7"/>
      <c r="G498" s="18">
        <f t="shared" si="1"/>
        <v>0</v>
      </c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7"/>
      <c r="B499" s="7"/>
      <c r="C499" s="7"/>
      <c r="D499" s="7"/>
      <c r="E499" s="7"/>
      <c r="F499" s="7"/>
      <c r="G499" s="18">
        <f t="shared" si="1"/>
        <v>0</v>
      </c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7"/>
      <c r="B500" s="7"/>
      <c r="C500" s="7"/>
      <c r="D500" s="7"/>
      <c r="E500" s="7"/>
      <c r="F500" s="7"/>
      <c r="G500" s="18">
        <f t="shared" si="1"/>
        <v>0</v>
      </c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7"/>
      <c r="B501" s="7"/>
      <c r="C501" s="7"/>
      <c r="D501" s="7"/>
      <c r="E501" s="7"/>
      <c r="F501" s="7"/>
      <c r="G501" s="18">
        <f t="shared" si="1"/>
        <v>0</v>
      </c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7"/>
      <c r="B502" s="7"/>
      <c r="C502" s="7"/>
      <c r="D502" s="7"/>
      <c r="E502" s="7"/>
      <c r="F502" s="7"/>
      <c r="G502" s="18">
        <f t="shared" si="1"/>
        <v>0</v>
      </c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7"/>
      <c r="B503" s="7"/>
      <c r="C503" s="7"/>
      <c r="D503" s="7"/>
      <c r="E503" s="7"/>
      <c r="F503" s="7"/>
      <c r="G503" s="18">
        <f t="shared" si="1"/>
        <v>0</v>
      </c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7"/>
      <c r="B504" s="7"/>
      <c r="C504" s="7"/>
      <c r="D504" s="7"/>
      <c r="E504" s="7"/>
      <c r="F504" s="7"/>
      <c r="G504" s="18">
        <f t="shared" si="1"/>
        <v>0</v>
      </c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7"/>
      <c r="B505" s="7"/>
      <c r="C505" s="7"/>
      <c r="D505" s="7"/>
      <c r="E505" s="7"/>
      <c r="F505" s="7"/>
      <c r="G505" s="18">
        <f t="shared" si="1"/>
        <v>0</v>
      </c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7"/>
      <c r="B506" s="7"/>
      <c r="C506" s="7"/>
      <c r="D506" s="7"/>
      <c r="E506" s="7"/>
      <c r="F506" s="7"/>
      <c r="G506" s="18">
        <f t="shared" si="1"/>
        <v>0</v>
      </c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7"/>
      <c r="B507" s="7"/>
      <c r="C507" s="7"/>
      <c r="D507" s="7"/>
      <c r="E507" s="7"/>
      <c r="F507" s="7"/>
      <c r="G507" s="18">
        <f t="shared" si="1"/>
        <v>0</v>
      </c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7"/>
      <c r="B508" s="7"/>
      <c r="C508" s="7"/>
      <c r="D508" s="7"/>
      <c r="E508" s="7"/>
      <c r="F508" s="7"/>
      <c r="G508" s="18">
        <f t="shared" si="1"/>
        <v>0</v>
      </c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7"/>
      <c r="B509" s="7"/>
      <c r="C509" s="7"/>
      <c r="D509" s="7"/>
      <c r="E509" s="7"/>
      <c r="F509" s="7"/>
      <c r="G509" s="18">
        <f t="shared" si="1"/>
        <v>0</v>
      </c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7"/>
      <c r="B510" s="7"/>
      <c r="C510" s="7"/>
      <c r="D510" s="7"/>
      <c r="E510" s="7"/>
      <c r="F510" s="7"/>
      <c r="G510" s="18">
        <f t="shared" si="1"/>
        <v>0</v>
      </c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7"/>
      <c r="B511" s="7"/>
      <c r="C511" s="7"/>
      <c r="D511" s="7"/>
      <c r="E511" s="7"/>
      <c r="F511" s="7"/>
      <c r="G511" s="18">
        <f t="shared" si="1"/>
        <v>0</v>
      </c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7"/>
      <c r="B512" s="7"/>
      <c r="C512" s="7"/>
      <c r="D512" s="7"/>
      <c r="E512" s="7"/>
      <c r="F512" s="7"/>
      <c r="G512" s="18">
        <f t="shared" si="1"/>
        <v>0</v>
      </c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7"/>
      <c r="B513" s="7"/>
      <c r="C513" s="7"/>
      <c r="D513" s="7"/>
      <c r="E513" s="7"/>
      <c r="F513" s="7"/>
      <c r="G513" s="18">
        <f t="shared" si="1"/>
        <v>0</v>
      </c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7"/>
      <c r="B514" s="7"/>
      <c r="C514" s="7"/>
      <c r="D514" s="7"/>
      <c r="E514" s="7"/>
      <c r="F514" s="7"/>
      <c r="G514" s="18">
        <f t="shared" si="1"/>
        <v>0</v>
      </c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7"/>
      <c r="B515" s="7"/>
      <c r="C515" s="7"/>
      <c r="D515" s="7"/>
      <c r="E515" s="7"/>
      <c r="F515" s="7"/>
      <c r="G515" s="18">
        <f t="shared" si="1"/>
        <v>0</v>
      </c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7"/>
      <c r="B516" s="7"/>
      <c r="C516" s="7"/>
      <c r="D516" s="7"/>
      <c r="E516" s="7"/>
      <c r="F516" s="7"/>
      <c r="G516" s="18">
        <f t="shared" si="1"/>
        <v>0</v>
      </c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7"/>
      <c r="B517" s="7"/>
      <c r="C517" s="7"/>
      <c r="D517" s="7"/>
      <c r="E517" s="7"/>
      <c r="F517" s="7"/>
      <c r="G517" s="18">
        <f t="shared" si="1"/>
        <v>0</v>
      </c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7"/>
      <c r="B518" s="7"/>
      <c r="C518" s="7"/>
      <c r="D518" s="7"/>
      <c r="E518" s="7"/>
      <c r="F518" s="7"/>
      <c r="G518" s="18">
        <f t="shared" si="1"/>
        <v>0</v>
      </c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7"/>
      <c r="B519" s="7"/>
      <c r="C519" s="7"/>
      <c r="D519" s="7"/>
      <c r="E519" s="7"/>
      <c r="F519" s="7"/>
      <c r="G519" s="18">
        <f t="shared" si="1"/>
        <v>0</v>
      </c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7"/>
      <c r="B520" s="7"/>
      <c r="C520" s="7"/>
      <c r="D520" s="7"/>
      <c r="E520" s="7"/>
      <c r="F520" s="7"/>
      <c r="G520" s="18">
        <f t="shared" si="1"/>
        <v>0</v>
      </c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7"/>
      <c r="B521" s="7"/>
      <c r="C521" s="7"/>
      <c r="D521" s="7"/>
      <c r="E521" s="7"/>
      <c r="F521" s="7"/>
      <c r="G521" s="18">
        <f t="shared" si="1"/>
        <v>0</v>
      </c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7"/>
      <c r="B522" s="7"/>
      <c r="C522" s="7"/>
      <c r="D522" s="7"/>
      <c r="E522" s="7"/>
      <c r="F522" s="7"/>
      <c r="G522" s="18">
        <f t="shared" si="1"/>
        <v>0</v>
      </c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7"/>
      <c r="B523" s="7"/>
      <c r="C523" s="7"/>
      <c r="D523" s="7"/>
      <c r="E523" s="7"/>
      <c r="F523" s="7"/>
      <c r="G523" s="18">
        <f t="shared" si="1"/>
        <v>0</v>
      </c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7"/>
      <c r="B524" s="7"/>
      <c r="C524" s="7"/>
      <c r="D524" s="7"/>
      <c r="E524" s="7"/>
      <c r="F524" s="7"/>
      <c r="G524" s="18">
        <f t="shared" si="1"/>
        <v>0</v>
      </c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7"/>
      <c r="B525" s="7"/>
      <c r="C525" s="7"/>
      <c r="D525" s="7"/>
      <c r="E525" s="7"/>
      <c r="F525" s="7"/>
      <c r="G525" s="18">
        <f t="shared" si="1"/>
        <v>0</v>
      </c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7"/>
      <c r="B526" s="7"/>
      <c r="C526" s="7"/>
      <c r="D526" s="7"/>
      <c r="E526" s="7"/>
      <c r="F526" s="7"/>
      <c r="G526" s="18">
        <f t="shared" si="1"/>
        <v>0</v>
      </c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7"/>
      <c r="B527" s="7"/>
      <c r="C527" s="7"/>
      <c r="D527" s="7"/>
      <c r="E527" s="7"/>
      <c r="F527" s="7"/>
      <c r="G527" s="18">
        <f t="shared" si="1"/>
        <v>0</v>
      </c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7"/>
      <c r="B528" s="7"/>
      <c r="C528" s="7"/>
      <c r="D528" s="7"/>
      <c r="E528" s="7"/>
      <c r="F528" s="7"/>
      <c r="G528" s="18">
        <f t="shared" si="1"/>
        <v>0</v>
      </c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7"/>
      <c r="B529" s="7"/>
      <c r="C529" s="7"/>
      <c r="D529" s="7"/>
      <c r="E529" s="7"/>
      <c r="F529" s="7"/>
      <c r="G529" s="18">
        <f t="shared" si="1"/>
        <v>0</v>
      </c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7"/>
      <c r="B530" s="7"/>
      <c r="C530" s="7"/>
      <c r="D530" s="7"/>
      <c r="E530" s="7"/>
      <c r="F530" s="7"/>
      <c r="G530" s="18">
        <f t="shared" si="1"/>
        <v>0</v>
      </c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7"/>
      <c r="B531" s="7"/>
      <c r="C531" s="7"/>
      <c r="D531" s="7"/>
      <c r="E531" s="7"/>
      <c r="F531" s="7"/>
      <c r="G531" s="18">
        <f t="shared" si="1"/>
        <v>0</v>
      </c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7"/>
      <c r="B532" s="7"/>
      <c r="C532" s="7"/>
      <c r="D532" s="7"/>
      <c r="E532" s="7"/>
      <c r="F532" s="7"/>
      <c r="G532" s="18">
        <f t="shared" si="1"/>
        <v>0</v>
      </c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7"/>
      <c r="B533" s="7"/>
      <c r="C533" s="7"/>
      <c r="D533" s="7"/>
      <c r="E533" s="7"/>
      <c r="F533" s="7"/>
      <c r="G533" s="18">
        <f t="shared" si="1"/>
        <v>0</v>
      </c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7"/>
      <c r="B534" s="7"/>
      <c r="C534" s="7"/>
      <c r="D534" s="7"/>
      <c r="E534" s="7"/>
      <c r="F534" s="7"/>
      <c r="G534" s="18">
        <f t="shared" si="1"/>
        <v>0</v>
      </c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7"/>
      <c r="B535" s="7"/>
      <c r="C535" s="7"/>
      <c r="D535" s="7"/>
      <c r="E535" s="7"/>
      <c r="F535" s="7"/>
      <c r="G535" s="18">
        <f t="shared" si="1"/>
        <v>0</v>
      </c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7"/>
      <c r="B536" s="7"/>
      <c r="C536" s="7"/>
      <c r="D536" s="7"/>
      <c r="E536" s="7"/>
      <c r="F536" s="7"/>
      <c r="G536" s="18">
        <f t="shared" si="1"/>
        <v>0</v>
      </c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7"/>
      <c r="B537" s="7"/>
      <c r="C537" s="7"/>
      <c r="D537" s="7"/>
      <c r="E537" s="7"/>
      <c r="F537" s="7"/>
      <c r="G537" s="18">
        <f t="shared" si="1"/>
        <v>0</v>
      </c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7"/>
      <c r="B538" s="7"/>
      <c r="C538" s="7"/>
      <c r="D538" s="7"/>
      <c r="E538" s="7"/>
      <c r="F538" s="7"/>
      <c r="G538" s="18">
        <f t="shared" si="1"/>
        <v>0</v>
      </c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7"/>
      <c r="B539" s="7"/>
      <c r="C539" s="7"/>
      <c r="D539" s="7"/>
      <c r="E539" s="7"/>
      <c r="F539" s="7"/>
      <c r="G539" s="18">
        <f t="shared" si="1"/>
        <v>0</v>
      </c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7"/>
      <c r="B540" s="7"/>
      <c r="C540" s="7"/>
      <c r="D540" s="7"/>
      <c r="E540" s="7"/>
      <c r="F540" s="7"/>
      <c r="G540" s="18">
        <f t="shared" si="1"/>
        <v>0</v>
      </c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7"/>
      <c r="B541" s="7"/>
      <c r="C541" s="7"/>
      <c r="D541" s="7"/>
      <c r="E541" s="7"/>
      <c r="F541" s="7"/>
      <c r="G541" s="18">
        <f t="shared" si="1"/>
        <v>0</v>
      </c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7"/>
      <c r="B542" s="7"/>
      <c r="C542" s="7"/>
      <c r="D542" s="7"/>
      <c r="E542" s="7"/>
      <c r="F542" s="7"/>
      <c r="G542" s="18">
        <f t="shared" si="1"/>
        <v>0</v>
      </c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7"/>
      <c r="B543" s="7"/>
      <c r="C543" s="7"/>
      <c r="D543" s="7"/>
      <c r="E543" s="7"/>
      <c r="F543" s="7"/>
      <c r="G543" s="18">
        <f t="shared" si="1"/>
        <v>0</v>
      </c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7"/>
      <c r="B544" s="7"/>
      <c r="C544" s="7"/>
      <c r="D544" s="7"/>
      <c r="E544" s="7"/>
      <c r="F544" s="7"/>
      <c r="G544" s="18">
        <f t="shared" si="1"/>
        <v>0</v>
      </c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7"/>
      <c r="B545" s="7"/>
      <c r="C545" s="7"/>
      <c r="D545" s="7"/>
      <c r="E545" s="7"/>
      <c r="F545" s="7"/>
      <c r="G545" s="18">
        <f t="shared" si="1"/>
        <v>0</v>
      </c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7"/>
      <c r="B546" s="7"/>
      <c r="C546" s="7"/>
      <c r="D546" s="7"/>
      <c r="E546" s="7"/>
      <c r="F546" s="7"/>
      <c r="G546" s="18">
        <f t="shared" si="1"/>
        <v>0</v>
      </c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7"/>
      <c r="B547" s="7"/>
      <c r="C547" s="7"/>
      <c r="D547" s="7"/>
      <c r="E547" s="7"/>
      <c r="F547" s="7"/>
      <c r="G547" s="18">
        <f t="shared" si="1"/>
        <v>0</v>
      </c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7"/>
      <c r="B548" s="7"/>
      <c r="C548" s="7"/>
      <c r="D548" s="7"/>
      <c r="E548" s="7"/>
      <c r="F548" s="7"/>
      <c r="G548" s="18">
        <f t="shared" si="1"/>
        <v>0</v>
      </c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7"/>
      <c r="B549" s="7"/>
      <c r="C549" s="7"/>
      <c r="D549" s="7"/>
      <c r="E549" s="7"/>
      <c r="F549" s="7"/>
      <c r="G549" s="18">
        <f t="shared" si="1"/>
        <v>0</v>
      </c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7"/>
      <c r="B550" s="7"/>
      <c r="C550" s="7"/>
      <c r="D550" s="7"/>
      <c r="E550" s="7"/>
      <c r="F550" s="7"/>
      <c r="G550" s="18">
        <f t="shared" si="1"/>
        <v>0</v>
      </c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7"/>
      <c r="B551" s="7"/>
      <c r="C551" s="7"/>
      <c r="D551" s="7"/>
      <c r="E551" s="7"/>
      <c r="F551" s="7"/>
      <c r="G551" s="18">
        <f t="shared" si="1"/>
        <v>0</v>
      </c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7"/>
      <c r="B552" s="7"/>
      <c r="C552" s="7"/>
      <c r="D552" s="7"/>
      <c r="E552" s="7"/>
      <c r="F552" s="7"/>
      <c r="G552" s="18">
        <f t="shared" si="1"/>
        <v>0</v>
      </c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7"/>
      <c r="B553" s="7"/>
      <c r="C553" s="7"/>
      <c r="D553" s="7"/>
      <c r="E553" s="7"/>
      <c r="F553" s="7"/>
      <c r="G553" s="18">
        <f t="shared" si="1"/>
        <v>0</v>
      </c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7"/>
      <c r="B554" s="7"/>
      <c r="C554" s="7"/>
      <c r="D554" s="7"/>
      <c r="E554" s="7"/>
      <c r="F554" s="7"/>
      <c r="G554" s="18">
        <f t="shared" si="1"/>
        <v>0</v>
      </c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7"/>
      <c r="B555" s="7"/>
      <c r="C555" s="7"/>
      <c r="D555" s="7"/>
      <c r="E555" s="7"/>
      <c r="F555" s="7"/>
      <c r="G555" s="18">
        <f t="shared" si="1"/>
        <v>0</v>
      </c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7"/>
      <c r="B556" s="7"/>
      <c r="C556" s="7"/>
      <c r="D556" s="7"/>
      <c r="E556" s="7"/>
      <c r="F556" s="7"/>
      <c r="G556" s="18">
        <f t="shared" si="1"/>
        <v>0</v>
      </c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7"/>
      <c r="B557" s="7"/>
      <c r="C557" s="7"/>
      <c r="D557" s="7"/>
      <c r="E557" s="7"/>
      <c r="F557" s="7"/>
      <c r="G557" s="18">
        <f t="shared" si="1"/>
        <v>0</v>
      </c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7"/>
      <c r="B558" s="7"/>
      <c r="C558" s="7"/>
      <c r="D558" s="7"/>
      <c r="E558" s="7"/>
      <c r="F558" s="7"/>
      <c r="G558" s="18">
        <f t="shared" si="1"/>
        <v>0</v>
      </c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7"/>
      <c r="B559" s="7"/>
      <c r="C559" s="7"/>
      <c r="D559" s="7"/>
      <c r="E559" s="7"/>
      <c r="F559" s="7"/>
      <c r="G559" s="18">
        <f t="shared" si="1"/>
        <v>0</v>
      </c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7"/>
      <c r="B560" s="7"/>
      <c r="C560" s="7"/>
      <c r="D560" s="7"/>
      <c r="E560" s="7"/>
      <c r="F560" s="7"/>
      <c r="G560" s="18">
        <f t="shared" si="1"/>
        <v>0</v>
      </c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7"/>
      <c r="B561" s="7"/>
      <c r="C561" s="7"/>
      <c r="D561" s="7"/>
      <c r="E561" s="7"/>
      <c r="F561" s="7"/>
      <c r="G561" s="18">
        <f t="shared" si="1"/>
        <v>0</v>
      </c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7"/>
      <c r="B562" s="7"/>
      <c r="C562" s="7"/>
      <c r="D562" s="7"/>
      <c r="E562" s="7"/>
      <c r="F562" s="7"/>
      <c r="G562" s="18">
        <f t="shared" si="1"/>
        <v>0</v>
      </c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7"/>
      <c r="B563" s="7"/>
      <c r="C563" s="7"/>
      <c r="D563" s="7"/>
      <c r="E563" s="7"/>
      <c r="F563" s="7"/>
      <c r="G563" s="18">
        <f t="shared" si="1"/>
        <v>0</v>
      </c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7"/>
      <c r="B564" s="7"/>
      <c r="C564" s="7"/>
      <c r="D564" s="7"/>
      <c r="E564" s="7"/>
      <c r="F564" s="7"/>
      <c r="G564" s="18">
        <f t="shared" si="1"/>
        <v>0</v>
      </c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7"/>
      <c r="B565" s="7"/>
      <c r="C565" s="7"/>
      <c r="D565" s="7"/>
      <c r="E565" s="7"/>
      <c r="F565" s="7"/>
      <c r="G565" s="18">
        <f t="shared" si="1"/>
        <v>0</v>
      </c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7"/>
      <c r="B566" s="7"/>
      <c r="C566" s="7"/>
      <c r="D566" s="7"/>
      <c r="E566" s="7"/>
      <c r="F566" s="7"/>
      <c r="G566" s="18">
        <f t="shared" si="1"/>
        <v>0</v>
      </c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7"/>
      <c r="B567" s="7"/>
      <c r="C567" s="7"/>
      <c r="D567" s="7"/>
      <c r="E567" s="7"/>
      <c r="F567" s="7"/>
      <c r="G567" s="18">
        <f t="shared" si="1"/>
        <v>0</v>
      </c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7"/>
      <c r="B568" s="7"/>
      <c r="C568" s="7"/>
      <c r="D568" s="7"/>
      <c r="E568" s="7"/>
      <c r="F568" s="7"/>
      <c r="G568" s="18">
        <f t="shared" si="1"/>
        <v>0</v>
      </c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7"/>
      <c r="B569" s="7"/>
      <c r="C569" s="7"/>
      <c r="D569" s="7"/>
      <c r="E569" s="7"/>
      <c r="F569" s="7"/>
      <c r="G569" s="18">
        <f t="shared" si="1"/>
        <v>0</v>
      </c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7"/>
      <c r="B570" s="7"/>
      <c r="C570" s="7"/>
      <c r="D570" s="7"/>
      <c r="E570" s="7"/>
      <c r="F570" s="7"/>
      <c r="G570" s="18">
        <f t="shared" si="1"/>
        <v>0</v>
      </c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7"/>
      <c r="B571" s="7"/>
      <c r="C571" s="7"/>
      <c r="D571" s="7"/>
      <c r="E571" s="7"/>
      <c r="F571" s="7"/>
      <c r="G571" s="18">
        <f t="shared" si="1"/>
        <v>0</v>
      </c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7"/>
      <c r="B572" s="7"/>
      <c r="C572" s="7"/>
      <c r="D572" s="7"/>
      <c r="E572" s="7"/>
      <c r="F572" s="7"/>
      <c r="G572" s="18">
        <f t="shared" si="1"/>
        <v>0</v>
      </c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7"/>
      <c r="B573" s="7"/>
      <c r="C573" s="7"/>
      <c r="D573" s="7"/>
      <c r="E573" s="7"/>
      <c r="F573" s="7"/>
      <c r="G573" s="18">
        <f t="shared" si="1"/>
        <v>0</v>
      </c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7"/>
      <c r="B574" s="7"/>
      <c r="C574" s="7"/>
      <c r="D574" s="7"/>
      <c r="E574" s="7"/>
      <c r="F574" s="7"/>
      <c r="G574" s="18">
        <f t="shared" si="1"/>
        <v>0</v>
      </c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7"/>
      <c r="B575" s="7"/>
      <c r="C575" s="7"/>
      <c r="D575" s="7"/>
      <c r="E575" s="7"/>
      <c r="F575" s="7"/>
      <c r="G575" s="18">
        <f t="shared" si="1"/>
        <v>0</v>
      </c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7"/>
      <c r="B576" s="7"/>
      <c r="C576" s="7"/>
      <c r="D576" s="7"/>
      <c r="E576" s="7"/>
      <c r="F576" s="7"/>
      <c r="G576" s="18">
        <f t="shared" si="1"/>
        <v>0</v>
      </c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7"/>
      <c r="B577" s="7"/>
      <c r="C577" s="7"/>
      <c r="D577" s="7"/>
      <c r="E577" s="7"/>
      <c r="F577" s="7"/>
      <c r="G577" s="18">
        <f t="shared" si="1"/>
        <v>0</v>
      </c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7"/>
      <c r="B578" s="7"/>
      <c r="C578" s="7"/>
      <c r="D578" s="7"/>
      <c r="E578" s="7"/>
      <c r="F578" s="7"/>
      <c r="G578" s="18">
        <f t="shared" si="1"/>
        <v>0</v>
      </c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7"/>
      <c r="B579" s="7"/>
      <c r="C579" s="7"/>
      <c r="D579" s="7"/>
      <c r="E579" s="7"/>
      <c r="F579" s="7"/>
      <c r="G579" s="18">
        <f t="shared" si="1"/>
        <v>0</v>
      </c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7"/>
      <c r="B580" s="7"/>
      <c r="C580" s="7"/>
      <c r="D580" s="7"/>
      <c r="E580" s="7"/>
      <c r="F580" s="7"/>
      <c r="G580" s="18">
        <f t="shared" si="1"/>
        <v>0</v>
      </c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7"/>
      <c r="B581" s="7"/>
      <c r="C581" s="7"/>
      <c r="D581" s="7"/>
      <c r="E581" s="7"/>
      <c r="F581" s="7"/>
      <c r="G581" s="18">
        <f t="shared" si="1"/>
        <v>0</v>
      </c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7"/>
      <c r="B582" s="7"/>
      <c r="C582" s="7"/>
      <c r="D582" s="7"/>
      <c r="E582" s="7"/>
      <c r="F582" s="7"/>
      <c r="G582" s="18">
        <f t="shared" si="1"/>
        <v>0</v>
      </c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7"/>
      <c r="B583" s="7"/>
      <c r="C583" s="7"/>
      <c r="D583" s="7"/>
      <c r="E583" s="7"/>
      <c r="F583" s="7"/>
      <c r="G583" s="18">
        <f t="shared" si="1"/>
        <v>0</v>
      </c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7"/>
      <c r="B584" s="7"/>
      <c r="C584" s="7"/>
      <c r="D584" s="7"/>
      <c r="E584" s="7"/>
      <c r="F584" s="7"/>
      <c r="G584" s="18">
        <f t="shared" si="1"/>
        <v>0</v>
      </c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7"/>
      <c r="B585" s="7"/>
      <c r="C585" s="7"/>
      <c r="D585" s="7"/>
      <c r="E585" s="7"/>
      <c r="F585" s="7"/>
      <c r="G585" s="18">
        <f t="shared" si="1"/>
        <v>0</v>
      </c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7"/>
      <c r="B586" s="7"/>
      <c r="C586" s="7"/>
      <c r="D586" s="7"/>
      <c r="E586" s="7"/>
      <c r="F586" s="7"/>
      <c r="G586" s="18">
        <f t="shared" si="1"/>
        <v>0</v>
      </c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7"/>
      <c r="B587" s="7"/>
      <c r="C587" s="7"/>
      <c r="D587" s="7"/>
      <c r="E587" s="7"/>
      <c r="F587" s="7"/>
      <c r="G587" s="18">
        <f t="shared" si="1"/>
        <v>0</v>
      </c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7"/>
      <c r="B588" s="7"/>
      <c r="C588" s="7"/>
      <c r="D588" s="7"/>
      <c r="E588" s="7"/>
      <c r="F588" s="7"/>
      <c r="G588" s="18">
        <f t="shared" si="1"/>
        <v>0</v>
      </c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7"/>
      <c r="B589" s="7"/>
      <c r="C589" s="7"/>
      <c r="D589" s="7"/>
      <c r="E589" s="7"/>
      <c r="F589" s="7"/>
      <c r="G589" s="18">
        <f t="shared" si="1"/>
        <v>0</v>
      </c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7"/>
      <c r="B590" s="7"/>
      <c r="C590" s="7"/>
      <c r="D590" s="7"/>
      <c r="E590" s="7"/>
      <c r="F590" s="7"/>
      <c r="G590" s="18">
        <f t="shared" si="1"/>
        <v>0</v>
      </c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7"/>
      <c r="B591" s="7"/>
      <c r="C591" s="7"/>
      <c r="D591" s="7"/>
      <c r="E591" s="7"/>
      <c r="F591" s="7"/>
      <c r="G591" s="18">
        <f t="shared" si="1"/>
        <v>0</v>
      </c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7"/>
      <c r="B592" s="7"/>
      <c r="C592" s="7"/>
      <c r="D592" s="7"/>
      <c r="E592" s="7"/>
      <c r="F592" s="7"/>
      <c r="G592" s="18">
        <f t="shared" si="1"/>
        <v>0</v>
      </c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7"/>
      <c r="B593" s="7"/>
      <c r="C593" s="7"/>
      <c r="D593" s="7"/>
      <c r="E593" s="7"/>
      <c r="F593" s="7"/>
      <c r="G593" s="18">
        <f t="shared" si="1"/>
        <v>0</v>
      </c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7"/>
      <c r="B594" s="7"/>
      <c r="C594" s="7"/>
      <c r="D594" s="7"/>
      <c r="E594" s="7"/>
      <c r="F594" s="7"/>
      <c r="G594" s="18">
        <f t="shared" si="1"/>
        <v>0</v>
      </c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7"/>
      <c r="B595" s="7"/>
      <c r="C595" s="7"/>
      <c r="D595" s="7"/>
      <c r="E595" s="7"/>
      <c r="F595" s="7"/>
      <c r="G595" s="18">
        <f t="shared" si="1"/>
        <v>0</v>
      </c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7"/>
      <c r="B596" s="7"/>
      <c r="C596" s="7"/>
      <c r="D596" s="7"/>
      <c r="E596" s="7"/>
      <c r="F596" s="7"/>
      <c r="G596" s="18">
        <f t="shared" si="1"/>
        <v>0</v>
      </c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7"/>
      <c r="B597" s="7"/>
      <c r="C597" s="7"/>
      <c r="D597" s="7"/>
      <c r="E597" s="7"/>
      <c r="F597" s="7"/>
      <c r="G597" s="18">
        <f t="shared" si="1"/>
        <v>0</v>
      </c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7"/>
      <c r="B598" s="7"/>
      <c r="C598" s="7"/>
      <c r="D598" s="7"/>
      <c r="E598" s="7"/>
      <c r="F598" s="7"/>
      <c r="G598" s="18">
        <f t="shared" si="1"/>
        <v>0</v>
      </c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7"/>
      <c r="B599" s="7"/>
      <c r="C599" s="7"/>
      <c r="D599" s="7"/>
      <c r="E599" s="7"/>
      <c r="F599" s="7"/>
      <c r="G599" s="18">
        <f t="shared" si="1"/>
        <v>0</v>
      </c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7"/>
      <c r="B600" s="7"/>
      <c r="C600" s="7"/>
      <c r="D600" s="7"/>
      <c r="E600" s="7"/>
      <c r="F600" s="7"/>
      <c r="G600" s="18">
        <f t="shared" si="1"/>
        <v>0</v>
      </c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7"/>
      <c r="B601" s="7"/>
      <c r="C601" s="7"/>
      <c r="D601" s="7"/>
      <c r="E601" s="7"/>
      <c r="F601" s="7"/>
      <c r="G601" s="18">
        <f t="shared" si="1"/>
        <v>0</v>
      </c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7"/>
      <c r="B602" s="7"/>
      <c r="C602" s="7"/>
      <c r="D602" s="7"/>
      <c r="E602" s="7"/>
      <c r="F602" s="7"/>
      <c r="G602" s="18">
        <f t="shared" si="1"/>
        <v>0</v>
      </c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7"/>
      <c r="B603" s="7"/>
      <c r="C603" s="7"/>
      <c r="D603" s="7"/>
      <c r="E603" s="7"/>
      <c r="F603" s="7"/>
      <c r="G603" s="18">
        <f t="shared" si="1"/>
        <v>0</v>
      </c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7"/>
      <c r="B604" s="7"/>
      <c r="C604" s="7"/>
      <c r="D604" s="7"/>
      <c r="E604" s="7"/>
      <c r="F604" s="7"/>
      <c r="G604" s="18">
        <f t="shared" si="1"/>
        <v>0</v>
      </c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7"/>
      <c r="B605" s="7"/>
      <c r="C605" s="7"/>
      <c r="D605" s="7"/>
      <c r="E605" s="7"/>
      <c r="F605" s="7"/>
      <c r="G605" s="18">
        <f t="shared" si="1"/>
        <v>0</v>
      </c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7"/>
      <c r="B606" s="7"/>
      <c r="C606" s="7"/>
      <c r="D606" s="7"/>
      <c r="E606" s="7"/>
      <c r="F606" s="7"/>
      <c r="G606" s="18">
        <f t="shared" si="1"/>
        <v>0</v>
      </c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7"/>
      <c r="B607" s="7"/>
      <c r="C607" s="7"/>
      <c r="D607" s="7"/>
      <c r="E607" s="7"/>
      <c r="F607" s="7"/>
      <c r="G607" s="18">
        <f t="shared" si="1"/>
        <v>0</v>
      </c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7"/>
      <c r="B608" s="7"/>
      <c r="C608" s="7"/>
      <c r="D608" s="7"/>
      <c r="E608" s="7"/>
      <c r="F608" s="7"/>
      <c r="G608" s="18">
        <f t="shared" si="1"/>
        <v>0</v>
      </c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7"/>
      <c r="B609" s="7"/>
      <c r="C609" s="7"/>
      <c r="D609" s="7"/>
      <c r="E609" s="7"/>
      <c r="F609" s="7"/>
      <c r="G609" s="18">
        <f t="shared" si="1"/>
        <v>0</v>
      </c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7"/>
      <c r="B610" s="7"/>
      <c r="C610" s="7"/>
      <c r="D610" s="7"/>
      <c r="E610" s="7"/>
      <c r="F610" s="7"/>
      <c r="G610" s="18">
        <f t="shared" si="1"/>
        <v>0</v>
      </c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7"/>
      <c r="B611" s="7"/>
      <c r="C611" s="7"/>
      <c r="D611" s="7"/>
      <c r="E611" s="7"/>
      <c r="F611" s="7"/>
      <c r="G611" s="18">
        <f t="shared" si="1"/>
        <v>0</v>
      </c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7"/>
      <c r="B612" s="7"/>
      <c r="C612" s="7"/>
      <c r="D612" s="7"/>
      <c r="E612" s="7"/>
      <c r="F612" s="7"/>
      <c r="G612" s="18">
        <f t="shared" si="1"/>
        <v>0</v>
      </c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7"/>
      <c r="B613" s="7"/>
      <c r="C613" s="7"/>
      <c r="D613" s="7"/>
      <c r="E613" s="7"/>
      <c r="F613" s="7"/>
      <c r="G613" s="18">
        <f t="shared" si="1"/>
        <v>0</v>
      </c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7"/>
      <c r="B614" s="7"/>
      <c r="C614" s="7"/>
      <c r="D614" s="7"/>
      <c r="E614" s="7"/>
      <c r="F614" s="7"/>
      <c r="G614" s="18">
        <f t="shared" si="1"/>
        <v>0</v>
      </c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7"/>
      <c r="B615" s="7"/>
      <c r="C615" s="7"/>
      <c r="D615" s="7"/>
      <c r="E615" s="7"/>
      <c r="F615" s="7"/>
      <c r="G615" s="18">
        <f t="shared" si="1"/>
        <v>0</v>
      </c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7"/>
      <c r="B616" s="7"/>
      <c r="C616" s="7"/>
      <c r="D616" s="7"/>
      <c r="E616" s="7"/>
      <c r="F616" s="7"/>
      <c r="G616" s="18">
        <f t="shared" si="1"/>
        <v>0</v>
      </c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7"/>
      <c r="B617" s="7"/>
      <c r="C617" s="7"/>
      <c r="D617" s="7"/>
      <c r="E617" s="7"/>
      <c r="F617" s="7"/>
      <c r="G617" s="18">
        <f t="shared" si="1"/>
        <v>0</v>
      </c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7"/>
      <c r="B618" s="7"/>
      <c r="C618" s="7"/>
      <c r="D618" s="7"/>
      <c r="E618" s="7"/>
      <c r="F618" s="7"/>
      <c r="G618" s="18">
        <f t="shared" si="1"/>
        <v>0</v>
      </c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7"/>
      <c r="B619" s="7"/>
      <c r="C619" s="7"/>
      <c r="D619" s="7"/>
      <c r="E619" s="7"/>
      <c r="F619" s="7"/>
      <c r="G619" s="18">
        <f t="shared" si="1"/>
        <v>0</v>
      </c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7"/>
      <c r="B620" s="7"/>
      <c r="C620" s="7"/>
      <c r="D620" s="7"/>
      <c r="E620" s="7"/>
      <c r="F620" s="7"/>
      <c r="G620" s="18">
        <f t="shared" si="1"/>
        <v>0</v>
      </c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7"/>
      <c r="B621" s="7"/>
      <c r="C621" s="7"/>
      <c r="D621" s="7"/>
      <c r="E621" s="7"/>
      <c r="F621" s="7"/>
      <c r="G621" s="18">
        <f t="shared" si="1"/>
        <v>0</v>
      </c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7"/>
      <c r="B622" s="7"/>
      <c r="C622" s="7"/>
      <c r="D622" s="7"/>
      <c r="E622" s="7"/>
      <c r="F622" s="7"/>
      <c r="G622" s="18">
        <f t="shared" si="1"/>
        <v>0</v>
      </c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7"/>
      <c r="B623" s="7"/>
      <c r="C623" s="7"/>
      <c r="D623" s="7"/>
      <c r="E623" s="7"/>
      <c r="F623" s="7"/>
      <c r="G623" s="18">
        <f t="shared" si="1"/>
        <v>0</v>
      </c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7"/>
      <c r="B624" s="7"/>
      <c r="C624" s="7"/>
      <c r="D624" s="7"/>
      <c r="E624" s="7"/>
      <c r="F624" s="7"/>
      <c r="G624" s="18">
        <f t="shared" si="1"/>
        <v>0</v>
      </c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7"/>
      <c r="B625" s="7"/>
      <c r="C625" s="7"/>
      <c r="D625" s="7"/>
      <c r="E625" s="7"/>
      <c r="F625" s="7"/>
      <c r="G625" s="18">
        <f t="shared" si="1"/>
        <v>0</v>
      </c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7"/>
      <c r="B626" s="7"/>
      <c r="C626" s="7"/>
      <c r="D626" s="7"/>
      <c r="E626" s="7"/>
      <c r="F626" s="7"/>
      <c r="G626" s="18">
        <f t="shared" si="1"/>
        <v>0</v>
      </c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7"/>
      <c r="B627" s="7"/>
      <c r="C627" s="7"/>
      <c r="D627" s="7"/>
      <c r="E627" s="7"/>
      <c r="F627" s="7"/>
      <c r="G627" s="18">
        <f t="shared" si="1"/>
        <v>0</v>
      </c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7"/>
      <c r="B628" s="7"/>
      <c r="C628" s="7"/>
      <c r="D628" s="7"/>
      <c r="E628" s="7"/>
      <c r="F628" s="7"/>
      <c r="G628" s="18">
        <f t="shared" si="1"/>
        <v>0</v>
      </c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7"/>
      <c r="B629" s="7"/>
      <c r="C629" s="7"/>
      <c r="D629" s="7"/>
      <c r="E629" s="7"/>
      <c r="F629" s="7"/>
      <c r="G629" s="18">
        <f t="shared" si="1"/>
        <v>0</v>
      </c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7"/>
      <c r="B630" s="7"/>
      <c r="C630" s="7"/>
      <c r="D630" s="7"/>
      <c r="E630" s="7"/>
      <c r="F630" s="7"/>
      <c r="G630" s="18">
        <f t="shared" si="1"/>
        <v>0</v>
      </c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7"/>
      <c r="B631" s="7"/>
      <c r="C631" s="7"/>
      <c r="D631" s="7"/>
      <c r="E631" s="7"/>
      <c r="F631" s="7"/>
      <c r="G631" s="18">
        <f t="shared" si="1"/>
        <v>0</v>
      </c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7"/>
      <c r="B632" s="7"/>
      <c r="C632" s="7"/>
      <c r="D632" s="7"/>
      <c r="E632" s="7"/>
      <c r="F632" s="7"/>
      <c r="G632" s="18">
        <f t="shared" si="1"/>
        <v>0</v>
      </c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7"/>
      <c r="B633" s="7"/>
      <c r="C633" s="7"/>
      <c r="D633" s="7"/>
      <c r="E633" s="7"/>
      <c r="F633" s="7"/>
      <c r="G633" s="18">
        <f t="shared" si="1"/>
        <v>0</v>
      </c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7"/>
      <c r="B634" s="7"/>
      <c r="C634" s="7"/>
      <c r="D634" s="7"/>
      <c r="E634" s="7"/>
      <c r="F634" s="7"/>
      <c r="G634" s="18">
        <f t="shared" si="1"/>
        <v>0</v>
      </c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7"/>
      <c r="B635" s="7"/>
      <c r="C635" s="7"/>
      <c r="D635" s="7"/>
      <c r="E635" s="7"/>
      <c r="F635" s="7"/>
      <c r="G635" s="18">
        <f t="shared" si="1"/>
        <v>0</v>
      </c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7"/>
      <c r="B636" s="7"/>
      <c r="C636" s="7"/>
      <c r="D636" s="7"/>
      <c r="E636" s="7"/>
      <c r="F636" s="7"/>
      <c r="G636" s="18">
        <f t="shared" si="1"/>
        <v>0</v>
      </c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7"/>
      <c r="B637" s="7"/>
      <c r="C637" s="7"/>
      <c r="D637" s="7"/>
      <c r="E637" s="7"/>
      <c r="F637" s="7"/>
      <c r="G637" s="18">
        <f t="shared" si="1"/>
        <v>0</v>
      </c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7"/>
      <c r="B638" s="7"/>
      <c r="C638" s="7"/>
      <c r="D638" s="7"/>
      <c r="E638" s="7"/>
      <c r="F638" s="7"/>
      <c r="G638" s="18">
        <f t="shared" si="1"/>
        <v>0</v>
      </c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7"/>
      <c r="B639" s="7"/>
      <c r="C639" s="7"/>
      <c r="D639" s="7"/>
      <c r="E639" s="7"/>
      <c r="F639" s="7"/>
      <c r="G639" s="18">
        <f t="shared" si="1"/>
        <v>0</v>
      </c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7"/>
      <c r="B640" s="7"/>
      <c r="C640" s="7"/>
      <c r="D640" s="7"/>
      <c r="E640" s="7"/>
      <c r="F640" s="7"/>
      <c r="G640" s="18">
        <f t="shared" si="1"/>
        <v>0</v>
      </c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7"/>
      <c r="B641" s="7"/>
      <c r="C641" s="7"/>
      <c r="D641" s="7"/>
      <c r="E641" s="7"/>
      <c r="F641" s="7"/>
      <c r="G641" s="18">
        <f t="shared" si="1"/>
        <v>0</v>
      </c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7"/>
      <c r="B642" s="7"/>
      <c r="C642" s="7"/>
      <c r="D642" s="7"/>
      <c r="E642" s="7"/>
      <c r="F642" s="7"/>
      <c r="G642" s="18">
        <f t="shared" si="1"/>
        <v>0</v>
      </c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7"/>
      <c r="B643" s="7"/>
      <c r="C643" s="7"/>
      <c r="D643" s="7"/>
      <c r="E643" s="7"/>
      <c r="F643" s="7"/>
      <c r="G643" s="18">
        <f t="shared" si="1"/>
        <v>0</v>
      </c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7"/>
      <c r="B644" s="7"/>
      <c r="C644" s="7"/>
      <c r="D644" s="7"/>
      <c r="E644" s="7"/>
      <c r="F644" s="7"/>
      <c r="G644" s="18">
        <f t="shared" si="1"/>
        <v>0</v>
      </c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7"/>
      <c r="B645" s="7"/>
      <c r="C645" s="7"/>
      <c r="D645" s="7"/>
      <c r="E645" s="7"/>
      <c r="F645" s="7"/>
      <c r="G645" s="18">
        <f t="shared" si="1"/>
        <v>0</v>
      </c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7"/>
      <c r="B646" s="7"/>
      <c r="C646" s="7"/>
      <c r="D646" s="7"/>
      <c r="E646" s="7"/>
      <c r="F646" s="7"/>
      <c r="G646" s="18">
        <f t="shared" si="1"/>
        <v>0</v>
      </c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7"/>
      <c r="B647" s="7"/>
      <c r="C647" s="7"/>
      <c r="D647" s="7"/>
      <c r="E647" s="7"/>
      <c r="F647" s="7"/>
      <c r="G647" s="18">
        <f t="shared" si="1"/>
        <v>0</v>
      </c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7"/>
      <c r="B648" s="7"/>
      <c r="C648" s="7"/>
      <c r="D648" s="7"/>
      <c r="E648" s="7"/>
      <c r="F648" s="7"/>
      <c r="G648" s="18">
        <f t="shared" si="1"/>
        <v>0</v>
      </c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7"/>
      <c r="B649" s="7"/>
      <c r="C649" s="7"/>
      <c r="D649" s="7"/>
      <c r="E649" s="7"/>
      <c r="F649" s="7"/>
      <c r="G649" s="18">
        <f t="shared" si="1"/>
        <v>0</v>
      </c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7"/>
      <c r="B650" s="7"/>
      <c r="C650" s="7"/>
      <c r="D650" s="7"/>
      <c r="E650" s="7"/>
      <c r="F650" s="7"/>
      <c r="G650" s="18">
        <f t="shared" si="1"/>
        <v>0</v>
      </c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7"/>
      <c r="B651" s="7"/>
      <c r="C651" s="7"/>
      <c r="D651" s="7"/>
      <c r="E651" s="7"/>
      <c r="F651" s="7"/>
      <c r="G651" s="18">
        <f t="shared" si="1"/>
        <v>0</v>
      </c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7"/>
      <c r="B652" s="7"/>
      <c r="C652" s="7"/>
      <c r="D652" s="7"/>
      <c r="E652" s="7"/>
      <c r="F652" s="7"/>
      <c r="G652" s="18">
        <f t="shared" si="1"/>
        <v>0</v>
      </c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7"/>
      <c r="B653" s="7"/>
      <c r="C653" s="7"/>
      <c r="D653" s="7"/>
      <c r="E653" s="7"/>
      <c r="F653" s="7"/>
      <c r="G653" s="18">
        <f t="shared" si="1"/>
        <v>0</v>
      </c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7"/>
      <c r="B654" s="7"/>
      <c r="C654" s="7"/>
      <c r="D654" s="7"/>
      <c r="E654" s="7"/>
      <c r="F654" s="7"/>
      <c r="G654" s="18">
        <f t="shared" si="1"/>
        <v>0</v>
      </c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7"/>
      <c r="B655" s="7"/>
      <c r="C655" s="7"/>
      <c r="D655" s="7"/>
      <c r="E655" s="7"/>
      <c r="F655" s="7"/>
      <c r="G655" s="18">
        <f t="shared" si="1"/>
        <v>0</v>
      </c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7"/>
      <c r="B656" s="7"/>
      <c r="C656" s="7"/>
      <c r="D656" s="7"/>
      <c r="E656" s="7"/>
      <c r="F656" s="7"/>
      <c r="G656" s="18">
        <f t="shared" si="1"/>
        <v>0</v>
      </c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7"/>
      <c r="B657" s="7"/>
      <c r="C657" s="7"/>
      <c r="D657" s="7"/>
      <c r="E657" s="7"/>
      <c r="F657" s="7"/>
      <c r="G657" s="18">
        <f t="shared" si="1"/>
        <v>0</v>
      </c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7"/>
      <c r="B658" s="7"/>
      <c r="C658" s="7"/>
      <c r="D658" s="7"/>
      <c r="E658" s="7"/>
      <c r="F658" s="7"/>
      <c r="G658" s="18">
        <f t="shared" si="1"/>
        <v>0</v>
      </c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7"/>
      <c r="B659" s="7"/>
      <c r="C659" s="7"/>
      <c r="D659" s="7"/>
      <c r="E659" s="7"/>
      <c r="F659" s="7"/>
      <c r="G659" s="18">
        <f t="shared" si="1"/>
        <v>0</v>
      </c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7"/>
      <c r="B660" s="7"/>
      <c r="C660" s="7"/>
      <c r="D660" s="7"/>
      <c r="E660" s="7"/>
      <c r="F660" s="7"/>
      <c r="G660" s="18">
        <f t="shared" si="1"/>
        <v>0</v>
      </c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7"/>
      <c r="B661" s="7"/>
      <c r="C661" s="7"/>
      <c r="D661" s="7"/>
      <c r="E661" s="7"/>
      <c r="F661" s="7"/>
      <c r="G661" s="18">
        <f t="shared" si="1"/>
        <v>0</v>
      </c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7"/>
      <c r="B662" s="7"/>
      <c r="C662" s="7"/>
      <c r="D662" s="7"/>
      <c r="E662" s="7"/>
      <c r="F662" s="7"/>
      <c r="G662" s="18">
        <f t="shared" si="1"/>
        <v>0</v>
      </c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7"/>
      <c r="B663" s="7"/>
      <c r="C663" s="7"/>
      <c r="D663" s="7"/>
      <c r="E663" s="7"/>
      <c r="F663" s="7"/>
      <c r="G663" s="18">
        <f t="shared" si="1"/>
        <v>0</v>
      </c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7"/>
      <c r="B664" s="7"/>
      <c r="C664" s="7"/>
      <c r="D664" s="7"/>
      <c r="E664" s="7"/>
      <c r="F664" s="7"/>
      <c r="G664" s="18">
        <f t="shared" si="1"/>
        <v>0</v>
      </c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7"/>
      <c r="B665" s="7"/>
      <c r="C665" s="7"/>
      <c r="D665" s="7"/>
      <c r="E665" s="7"/>
      <c r="F665" s="7"/>
      <c r="G665" s="18">
        <f t="shared" si="1"/>
        <v>0</v>
      </c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7"/>
      <c r="B666" s="7"/>
      <c r="C666" s="7"/>
      <c r="D666" s="7"/>
      <c r="E666" s="7"/>
      <c r="F666" s="7"/>
      <c r="G666" s="18">
        <f t="shared" si="1"/>
        <v>0</v>
      </c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7"/>
      <c r="B667" s="7"/>
      <c r="C667" s="7"/>
      <c r="D667" s="7"/>
      <c r="E667" s="7"/>
      <c r="F667" s="7"/>
      <c r="G667" s="18">
        <f t="shared" si="1"/>
        <v>0</v>
      </c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7"/>
      <c r="B668" s="7"/>
      <c r="C668" s="7"/>
      <c r="D668" s="7"/>
      <c r="E668" s="7"/>
      <c r="F668" s="7"/>
      <c r="G668" s="18">
        <f t="shared" si="1"/>
        <v>0</v>
      </c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7"/>
      <c r="B669" s="7"/>
      <c r="C669" s="7"/>
      <c r="D669" s="7"/>
      <c r="E669" s="7"/>
      <c r="F669" s="7"/>
      <c r="G669" s="18">
        <f t="shared" si="1"/>
        <v>0</v>
      </c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7"/>
      <c r="B670" s="7"/>
      <c r="C670" s="7"/>
      <c r="D670" s="7"/>
      <c r="E670" s="7"/>
      <c r="F670" s="7"/>
      <c r="G670" s="18">
        <f t="shared" si="1"/>
        <v>0</v>
      </c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7"/>
      <c r="B671" s="7"/>
      <c r="C671" s="7"/>
      <c r="D671" s="7"/>
      <c r="E671" s="7"/>
      <c r="F671" s="7"/>
      <c r="G671" s="18">
        <f t="shared" si="1"/>
        <v>0</v>
      </c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7"/>
      <c r="B672" s="7"/>
      <c r="C672" s="7"/>
      <c r="D672" s="7"/>
      <c r="E672" s="7"/>
      <c r="F672" s="7"/>
      <c r="G672" s="18">
        <f t="shared" si="1"/>
        <v>0</v>
      </c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7"/>
      <c r="B673" s="7"/>
      <c r="C673" s="7"/>
      <c r="D673" s="7"/>
      <c r="E673" s="7"/>
      <c r="F673" s="7"/>
      <c r="G673" s="18">
        <f t="shared" si="1"/>
        <v>0</v>
      </c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7"/>
      <c r="B674" s="7"/>
      <c r="C674" s="7"/>
      <c r="D674" s="7"/>
      <c r="E674" s="7"/>
      <c r="F674" s="7"/>
      <c r="G674" s="18">
        <f t="shared" si="1"/>
        <v>0</v>
      </c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7"/>
      <c r="B675" s="7"/>
      <c r="C675" s="7"/>
      <c r="D675" s="7"/>
      <c r="E675" s="7"/>
      <c r="F675" s="7"/>
      <c r="G675" s="18">
        <f t="shared" si="1"/>
        <v>0</v>
      </c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7"/>
      <c r="B676" s="7"/>
      <c r="C676" s="7"/>
      <c r="D676" s="7"/>
      <c r="E676" s="7"/>
      <c r="F676" s="7"/>
      <c r="G676" s="18">
        <f t="shared" si="1"/>
        <v>0</v>
      </c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7"/>
      <c r="B677" s="7"/>
      <c r="C677" s="7"/>
      <c r="D677" s="7"/>
      <c r="E677" s="7"/>
      <c r="F677" s="7"/>
      <c r="G677" s="18">
        <f t="shared" si="1"/>
        <v>0</v>
      </c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7"/>
      <c r="B678" s="7"/>
      <c r="C678" s="7"/>
      <c r="D678" s="7"/>
      <c r="E678" s="7"/>
      <c r="F678" s="7"/>
      <c r="G678" s="18">
        <f t="shared" si="1"/>
        <v>0</v>
      </c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7"/>
      <c r="B679" s="7"/>
      <c r="C679" s="7"/>
      <c r="D679" s="7"/>
      <c r="E679" s="7"/>
      <c r="F679" s="7"/>
      <c r="G679" s="18">
        <f t="shared" si="1"/>
        <v>0</v>
      </c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7"/>
      <c r="B680" s="7"/>
      <c r="C680" s="7"/>
      <c r="D680" s="7"/>
      <c r="E680" s="7"/>
      <c r="F680" s="7"/>
      <c r="G680" s="18">
        <f t="shared" si="1"/>
        <v>0</v>
      </c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7"/>
      <c r="B681" s="7"/>
      <c r="C681" s="7"/>
      <c r="D681" s="7"/>
      <c r="E681" s="7"/>
      <c r="F681" s="7"/>
      <c r="G681" s="18">
        <f t="shared" si="1"/>
        <v>0</v>
      </c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7"/>
      <c r="B682" s="7"/>
      <c r="C682" s="7"/>
      <c r="D682" s="7"/>
      <c r="E682" s="7"/>
      <c r="F682" s="7"/>
      <c r="G682" s="18">
        <f t="shared" si="1"/>
        <v>0</v>
      </c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7"/>
      <c r="B683" s="7"/>
      <c r="C683" s="7"/>
      <c r="D683" s="7"/>
      <c r="E683" s="7"/>
      <c r="F683" s="7"/>
      <c r="G683" s="18">
        <f t="shared" si="1"/>
        <v>0</v>
      </c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7"/>
      <c r="B684" s="7"/>
      <c r="C684" s="7"/>
      <c r="D684" s="7"/>
      <c r="E684" s="7"/>
      <c r="F684" s="7"/>
      <c r="G684" s="18">
        <f t="shared" si="1"/>
        <v>0</v>
      </c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7"/>
      <c r="B685" s="7"/>
      <c r="C685" s="7"/>
      <c r="D685" s="7"/>
      <c r="E685" s="7"/>
      <c r="F685" s="7"/>
      <c r="G685" s="18">
        <f t="shared" si="1"/>
        <v>0</v>
      </c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7"/>
      <c r="B686" s="7"/>
      <c r="C686" s="7"/>
      <c r="D686" s="7"/>
      <c r="E686" s="7"/>
      <c r="F686" s="7"/>
      <c r="G686" s="18">
        <f t="shared" si="1"/>
        <v>0</v>
      </c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7"/>
      <c r="B687" s="7"/>
      <c r="C687" s="7"/>
      <c r="D687" s="7"/>
      <c r="E687" s="7"/>
      <c r="F687" s="7"/>
      <c r="G687" s="18">
        <f t="shared" si="1"/>
        <v>0</v>
      </c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7"/>
      <c r="B688" s="7"/>
      <c r="C688" s="7"/>
      <c r="D688" s="7"/>
      <c r="E688" s="7"/>
      <c r="F688" s="7"/>
      <c r="G688" s="18">
        <f t="shared" si="1"/>
        <v>0</v>
      </c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7"/>
      <c r="B689" s="7"/>
      <c r="C689" s="7"/>
      <c r="D689" s="7"/>
      <c r="E689" s="7"/>
      <c r="F689" s="7"/>
      <c r="G689" s="18">
        <f t="shared" si="1"/>
        <v>0</v>
      </c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7"/>
      <c r="B690" s="7"/>
      <c r="C690" s="7"/>
      <c r="D690" s="7"/>
      <c r="E690" s="7"/>
      <c r="F690" s="7"/>
      <c r="G690" s="18">
        <f t="shared" si="1"/>
        <v>0</v>
      </c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7"/>
      <c r="B691" s="7"/>
      <c r="C691" s="7"/>
      <c r="D691" s="7"/>
      <c r="E691" s="7"/>
      <c r="F691" s="7"/>
      <c r="G691" s="18">
        <f t="shared" si="1"/>
        <v>0</v>
      </c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7"/>
      <c r="B692" s="7"/>
      <c r="C692" s="7"/>
      <c r="D692" s="7"/>
      <c r="E692" s="7"/>
      <c r="F692" s="7"/>
      <c r="G692" s="18">
        <f t="shared" si="1"/>
        <v>0</v>
      </c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7"/>
      <c r="B693" s="7"/>
      <c r="C693" s="7"/>
      <c r="D693" s="7"/>
      <c r="E693" s="7"/>
      <c r="F693" s="7"/>
      <c r="G693" s="18">
        <f t="shared" si="1"/>
        <v>0</v>
      </c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7"/>
      <c r="B694" s="7"/>
      <c r="C694" s="7"/>
      <c r="D694" s="7"/>
      <c r="E694" s="7"/>
      <c r="F694" s="7"/>
      <c r="G694" s="18">
        <f t="shared" si="1"/>
        <v>0</v>
      </c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7"/>
      <c r="B695" s="7"/>
      <c r="C695" s="7"/>
      <c r="D695" s="7"/>
      <c r="E695" s="7"/>
      <c r="F695" s="7"/>
      <c r="G695" s="18">
        <f t="shared" si="1"/>
        <v>0</v>
      </c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7"/>
      <c r="B696" s="7"/>
      <c r="C696" s="7"/>
      <c r="D696" s="7"/>
      <c r="E696" s="7"/>
      <c r="F696" s="7"/>
      <c r="G696" s="18">
        <f t="shared" si="1"/>
        <v>0</v>
      </c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7"/>
      <c r="B697" s="7"/>
      <c r="C697" s="7"/>
      <c r="D697" s="7"/>
      <c r="E697" s="7"/>
      <c r="F697" s="7"/>
      <c r="G697" s="18">
        <f t="shared" si="1"/>
        <v>0</v>
      </c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7"/>
      <c r="B698" s="7"/>
      <c r="C698" s="7"/>
      <c r="D698" s="7"/>
      <c r="E698" s="7"/>
      <c r="F698" s="7"/>
      <c r="G698" s="18">
        <f t="shared" si="1"/>
        <v>0</v>
      </c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7"/>
      <c r="B699" s="7"/>
      <c r="C699" s="7"/>
      <c r="D699" s="7"/>
      <c r="E699" s="7"/>
      <c r="F699" s="7"/>
      <c r="G699" s="18">
        <f t="shared" si="1"/>
        <v>0</v>
      </c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7"/>
      <c r="B700" s="7"/>
      <c r="C700" s="7"/>
      <c r="D700" s="7"/>
      <c r="E700" s="7"/>
      <c r="F700" s="7"/>
      <c r="G700" s="18">
        <f t="shared" si="1"/>
        <v>0</v>
      </c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7"/>
      <c r="B701" s="7"/>
      <c r="C701" s="7"/>
      <c r="D701" s="7"/>
      <c r="E701" s="7"/>
      <c r="F701" s="7"/>
      <c r="G701" s="18">
        <f t="shared" si="1"/>
        <v>0</v>
      </c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7"/>
      <c r="B702" s="7"/>
      <c r="C702" s="7"/>
      <c r="D702" s="7"/>
      <c r="E702" s="7"/>
      <c r="F702" s="7"/>
      <c r="G702" s="18">
        <f t="shared" si="1"/>
        <v>0</v>
      </c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7"/>
      <c r="B703" s="7"/>
      <c r="C703" s="7"/>
      <c r="D703" s="7"/>
      <c r="E703" s="7"/>
      <c r="F703" s="7"/>
      <c r="G703" s="18">
        <f t="shared" si="1"/>
        <v>0</v>
      </c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7"/>
      <c r="B704" s="7"/>
      <c r="C704" s="7"/>
      <c r="D704" s="7"/>
      <c r="E704" s="7"/>
      <c r="F704" s="7"/>
      <c r="G704" s="18">
        <f t="shared" si="1"/>
        <v>0</v>
      </c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7"/>
      <c r="B705" s="7"/>
      <c r="C705" s="7"/>
      <c r="D705" s="7"/>
      <c r="E705" s="7"/>
      <c r="F705" s="7"/>
      <c r="G705" s="18">
        <f t="shared" si="1"/>
        <v>0</v>
      </c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7"/>
      <c r="B706" s="7"/>
      <c r="C706" s="7"/>
      <c r="D706" s="7"/>
      <c r="E706" s="7"/>
      <c r="F706" s="7"/>
      <c r="G706" s="18">
        <f t="shared" si="1"/>
        <v>0</v>
      </c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7"/>
      <c r="B707" s="7"/>
      <c r="C707" s="7"/>
      <c r="D707" s="7"/>
      <c r="E707" s="7"/>
      <c r="F707" s="7"/>
      <c r="G707" s="18">
        <f t="shared" si="1"/>
        <v>0</v>
      </c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7"/>
      <c r="B708" s="7"/>
      <c r="C708" s="7"/>
      <c r="D708" s="7"/>
      <c r="E708" s="7"/>
      <c r="F708" s="7"/>
      <c r="G708" s="18">
        <f t="shared" si="1"/>
        <v>0</v>
      </c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7"/>
      <c r="B709" s="7"/>
      <c r="C709" s="7"/>
      <c r="D709" s="7"/>
      <c r="E709" s="7"/>
      <c r="F709" s="7"/>
      <c r="G709" s="18">
        <f t="shared" si="1"/>
        <v>0</v>
      </c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7"/>
      <c r="B710" s="7"/>
      <c r="C710" s="7"/>
      <c r="D710" s="7"/>
      <c r="E710" s="7"/>
      <c r="F710" s="7"/>
      <c r="G710" s="18">
        <f t="shared" si="1"/>
        <v>0</v>
      </c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7"/>
      <c r="B711" s="7"/>
      <c r="C711" s="7"/>
      <c r="D711" s="7"/>
      <c r="E711" s="7"/>
      <c r="F711" s="7"/>
      <c r="G711" s="18">
        <f t="shared" si="1"/>
        <v>0</v>
      </c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7"/>
      <c r="B712" s="7"/>
      <c r="C712" s="7"/>
      <c r="D712" s="7"/>
      <c r="E712" s="7"/>
      <c r="F712" s="7"/>
      <c r="G712" s="18">
        <f t="shared" si="1"/>
        <v>0</v>
      </c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7"/>
      <c r="B713" s="7"/>
      <c r="C713" s="7"/>
      <c r="D713" s="7"/>
      <c r="E713" s="7"/>
      <c r="F713" s="7"/>
      <c r="G713" s="18">
        <f t="shared" si="1"/>
        <v>0</v>
      </c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7"/>
      <c r="B714" s="7"/>
      <c r="C714" s="7"/>
      <c r="D714" s="7"/>
      <c r="E714" s="7"/>
      <c r="F714" s="7"/>
      <c r="G714" s="18">
        <f t="shared" si="1"/>
        <v>0</v>
      </c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7"/>
      <c r="B715" s="7"/>
      <c r="C715" s="7"/>
      <c r="D715" s="7"/>
      <c r="E715" s="7"/>
      <c r="F715" s="7"/>
      <c r="G715" s="18">
        <f t="shared" si="1"/>
        <v>0</v>
      </c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7"/>
      <c r="B716" s="7"/>
      <c r="C716" s="7"/>
      <c r="D716" s="7"/>
      <c r="E716" s="7"/>
      <c r="F716" s="7"/>
      <c r="G716" s="18">
        <f t="shared" si="1"/>
        <v>0</v>
      </c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7"/>
      <c r="B717" s="7"/>
      <c r="C717" s="7"/>
      <c r="D717" s="7"/>
      <c r="E717" s="7"/>
      <c r="F717" s="7"/>
      <c r="G717" s="18">
        <f t="shared" si="1"/>
        <v>0</v>
      </c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7"/>
      <c r="B718" s="7"/>
      <c r="C718" s="7"/>
      <c r="D718" s="7"/>
      <c r="E718" s="7"/>
      <c r="F718" s="7"/>
      <c r="G718" s="18">
        <f t="shared" si="1"/>
        <v>0</v>
      </c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7"/>
      <c r="B719" s="7"/>
      <c r="C719" s="7"/>
      <c r="D719" s="7"/>
      <c r="E719" s="7"/>
      <c r="F719" s="7"/>
      <c r="G719" s="18">
        <f t="shared" si="1"/>
        <v>0</v>
      </c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7"/>
      <c r="B720" s="7"/>
      <c r="C720" s="7"/>
      <c r="D720" s="7"/>
      <c r="E720" s="7"/>
      <c r="F720" s="7"/>
      <c r="G720" s="18">
        <f t="shared" si="1"/>
        <v>0</v>
      </c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7"/>
      <c r="B721" s="7"/>
      <c r="C721" s="7"/>
      <c r="D721" s="7"/>
      <c r="E721" s="7"/>
      <c r="F721" s="7"/>
      <c r="G721" s="18">
        <f t="shared" si="1"/>
        <v>0</v>
      </c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7"/>
      <c r="B722" s="7"/>
      <c r="C722" s="7"/>
      <c r="D722" s="7"/>
      <c r="E722" s="7"/>
      <c r="F722" s="7"/>
      <c r="G722" s="18">
        <f t="shared" si="1"/>
        <v>0</v>
      </c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7"/>
      <c r="B723" s="7"/>
      <c r="C723" s="7"/>
      <c r="D723" s="7"/>
      <c r="E723" s="7"/>
      <c r="F723" s="7"/>
      <c r="G723" s="18">
        <f t="shared" si="1"/>
        <v>0</v>
      </c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7"/>
      <c r="B724" s="7"/>
      <c r="C724" s="7"/>
      <c r="D724" s="7"/>
      <c r="E724" s="7"/>
      <c r="F724" s="7"/>
      <c r="G724" s="18">
        <f t="shared" si="1"/>
        <v>0</v>
      </c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7"/>
      <c r="B725" s="7"/>
      <c r="C725" s="7"/>
      <c r="D725" s="7"/>
      <c r="E725" s="7"/>
      <c r="F725" s="7"/>
      <c r="G725" s="18">
        <f t="shared" si="1"/>
        <v>0</v>
      </c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7"/>
      <c r="B726" s="7"/>
      <c r="C726" s="7"/>
      <c r="D726" s="7"/>
      <c r="E726" s="7"/>
      <c r="F726" s="7"/>
      <c r="G726" s="18">
        <f t="shared" si="1"/>
        <v>0</v>
      </c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7"/>
      <c r="B727" s="7"/>
      <c r="C727" s="7"/>
      <c r="D727" s="7"/>
      <c r="E727" s="7"/>
      <c r="F727" s="7"/>
      <c r="G727" s="18">
        <f t="shared" si="1"/>
        <v>0</v>
      </c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7"/>
      <c r="B728" s="7"/>
      <c r="C728" s="7"/>
      <c r="D728" s="7"/>
      <c r="E728" s="7"/>
      <c r="F728" s="7"/>
      <c r="G728" s="18">
        <f t="shared" si="1"/>
        <v>0</v>
      </c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7"/>
      <c r="B729" s="7"/>
      <c r="C729" s="7"/>
      <c r="D729" s="7"/>
      <c r="E729" s="7"/>
      <c r="F729" s="7"/>
      <c r="G729" s="18">
        <f t="shared" si="1"/>
        <v>0</v>
      </c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7"/>
      <c r="B730" s="7"/>
      <c r="C730" s="7"/>
      <c r="D730" s="7"/>
      <c r="E730" s="7"/>
      <c r="F730" s="7"/>
      <c r="G730" s="18">
        <f t="shared" si="1"/>
        <v>0</v>
      </c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7"/>
      <c r="B731" s="7"/>
      <c r="C731" s="7"/>
      <c r="D731" s="7"/>
      <c r="E731" s="7"/>
      <c r="F731" s="7"/>
      <c r="G731" s="18">
        <f t="shared" si="1"/>
        <v>0</v>
      </c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7"/>
      <c r="B732" s="7"/>
      <c r="C732" s="7"/>
      <c r="D732" s="7"/>
      <c r="E732" s="7"/>
      <c r="F732" s="7"/>
      <c r="G732" s="18">
        <f t="shared" si="1"/>
        <v>0</v>
      </c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7"/>
      <c r="B733" s="7"/>
      <c r="C733" s="7"/>
      <c r="D733" s="7"/>
      <c r="E733" s="7"/>
      <c r="F733" s="7"/>
      <c r="G733" s="18">
        <f t="shared" si="1"/>
        <v>0</v>
      </c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7"/>
      <c r="B734" s="7"/>
      <c r="C734" s="7"/>
      <c r="D734" s="7"/>
      <c r="E734" s="7"/>
      <c r="F734" s="7"/>
      <c r="G734" s="18">
        <f t="shared" si="1"/>
        <v>0</v>
      </c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7"/>
      <c r="B735" s="7"/>
      <c r="C735" s="7"/>
      <c r="D735" s="7"/>
      <c r="E735" s="7"/>
      <c r="F735" s="7"/>
      <c r="G735" s="18">
        <f t="shared" si="1"/>
        <v>0</v>
      </c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7"/>
      <c r="B736" s="7"/>
      <c r="C736" s="7"/>
      <c r="D736" s="7"/>
      <c r="E736" s="7"/>
      <c r="F736" s="7"/>
      <c r="G736" s="18">
        <f t="shared" si="1"/>
        <v>0</v>
      </c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7"/>
      <c r="B737" s="7"/>
      <c r="C737" s="7"/>
      <c r="D737" s="7"/>
      <c r="E737" s="7"/>
      <c r="F737" s="7"/>
      <c r="G737" s="18">
        <f t="shared" si="1"/>
        <v>0</v>
      </c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7"/>
      <c r="B738" s="7"/>
      <c r="C738" s="7"/>
      <c r="D738" s="7"/>
      <c r="E738" s="7"/>
      <c r="F738" s="7"/>
      <c r="G738" s="18">
        <f t="shared" si="1"/>
        <v>0</v>
      </c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7"/>
      <c r="B739" s="7"/>
      <c r="C739" s="7"/>
      <c r="D739" s="7"/>
      <c r="E739" s="7"/>
      <c r="F739" s="7"/>
      <c r="G739" s="18">
        <f t="shared" si="1"/>
        <v>0</v>
      </c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7"/>
      <c r="B740" s="7"/>
      <c r="C740" s="7"/>
      <c r="D740" s="7"/>
      <c r="E740" s="7"/>
      <c r="F740" s="7"/>
      <c r="G740" s="18">
        <f t="shared" si="1"/>
        <v>0</v>
      </c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7"/>
      <c r="B741" s="7"/>
      <c r="C741" s="7"/>
      <c r="D741" s="7"/>
      <c r="E741" s="7"/>
      <c r="F741" s="7"/>
      <c r="G741" s="18">
        <f t="shared" si="1"/>
        <v>0</v>
      </c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7"/>
      <c r="B742" s="7"/>
      <c r="C742" s="7"/>
      <c r="D742" s="7"/>
      <c r="E742" s="7"/>
      <c r="F742" s="7"/>
      <c r="G742" s="18">
        <f t="shared" si="1"/>
        <v>0</v>
      </c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7"/>
      <c r="B743" s="7"/>
      <c r="C743" s="7"/>
      <c r="D743" s="7"/>
      <c r="E743" s="7"/>
      <c r="F743" s="7"/>
      <c r="G743" s="18">
        <f t="shared" si="1"/>
        <v>0</v>
      </c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7"/>
      <c r="B744" s="7"/>
      <c r="C744" s="7"/>
      <c r="D744" s="7"/>
      <c r="E744" s="7"/>
      <c r="F744" s="7"/>
      <c r="G744" s="18">
        <f t="shared" si="1"/>
        <v>0</v>
      </c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7"/>
      <c r="B745" s="7"/>
      <c r="C745" s="7"/>
      <c r="D745" s="7"/>
      <c r="E745" s="7"/>
      <c r="F745" s="7"/>
      <c r="G745" s="18">
        <f t="shared" si="1"/>
        <v>0</v>
      </c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7"/>
      <c r="B746" s="7"/>
      <c r="C746" s="7"/>
      <c r="D746" s="7"/>
      <c r="E746" s="7"/>
      <c r="F746" s="7"/>
      <c r="G746" s="18">
        <f t="shared" si="1"/>
        <v>0</v>
      </c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7"/>
      <c r="B747" s="7"/>
      <c r="C747" s="7"/>
      <c r="D747" s="7"/>
      <c r="E747" s="7"/>
      <c r="F747" s="7"/>
      <c r="G747" s="18">
        <f t="shared" si="1"/>
        <v>0</v>
      </c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7"/>
      <c r="B748" s="7"/>
      <c r="C748" s="7"/>
      <c r="D748" s="7"/>
      <c r="E748" s="7"/>
      <c r="F748" s="7"/>
      <c r="G748" s="18">
        <f t="shared" si="1"/>
        <v>0</v>
      </c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7"/>
      <c r="B749" s="7"/>
      <c r="C749" s="7"/>
      <c r="D749" s="7"/>
      <c r="E749" s="7"/>
      <c r="F749" s="7"/>
      <c r="G749" s="18">
        <f t="shared" si="1"/>
        <v>0</v>
      </c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7"/>
      <c r="B750" s="7"/>
      <c r="C750" s="7"/>
      <c r="D750" s="7"/>
      <c r="E750" s="7"/>
      <c r="F750" s="7"/>
      <c r="G750" s="18">
        <f t="shared" si="1"/>
        <v>0</v>
      </c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7"/>
      <c r="B751" s="7"/>
      <c r="C751" s="7"/>
      <c r="D751" s="7"/>
      <c r="E751" s="7"/>
      <c r="F751" s="7"/>
      <c r="G751" s="18">
        <f t="shared" si="1"/>
        <v>0</v>
      </c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7"/>
      <c r="B752" s="7"/>
      <c r="C752" s="7"/>
      <c r="D752" s="7"/>
      <c r="E752" s="7"/>
      <c r="F752" s="7"/>
      <c r="G752" s="18">
        <f t="shared" si="1"/>
        <v>0</v>
      </c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7"/>
      <c r="B753" s="7"/>
      <c r="C753" s="7"/>
      <c r="D753" s="7"/>
      <c r="E753" s="7"/>
      <c r="F753" s="7"/>
      <c r="G753" s="18">
        <f t="shared" si="1"/>
        <v>0</v>
      </c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7"/>
      <c r="B754" s="7"/>
      <c r="C754" s="7"/>
      <c r="D754" s="7"/>
      <c r="E754" s="7"/>
      <c r="F754" s="7"/>
      <c r="G754" s="18">
        <f t="shared" si="1"/>
        <v>0</v>
      </c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7"/>
      <c r="B755" s="7"/>
      <c r="C755" s="7"/>
      <c r="D755" s="7"/>
      <c r="E755" s="7"/>
      <c r="F755" s="7"/>
      <c r="G755" s="18">
        <f t="shared" si="1"/>
        <v>0</v>
      </c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7"/>
      <c r="B756" s="7"/>
      <c r="C756" s="7"/>
      <c r="D756" s="7"/>
      <c r="E756" s="7"/>
      <c r="F756" s="7"/>
      <c r="G756" s="18">
        <f t="shared" si="1"/>
        <v>0</v>
      </c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7"/>
      <c r="B757" s="7"/>
      <c r="C757" s="7"/>
      <c r="D757" s="7"/>
      <c r="E757" s="7"/>
      <c r="F757" s="7"/>
      <c r="G757" s="18">
        <f t="shared" si="1"/>
        <v>0</v>
      </c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7"/>
      <c r="B758" s="7"/>
      <c r="C758" s="7"/>
      <c r="D758" s="7"/>
      <c r="E758" s="7"/>
      <c r="F758" s="7"/>
      <c r="G758" s="18">
        <f t="shared" si="1"/>
        <v>0</v>
      </c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7"/>
      <c r="B759" s="7"/>
      <c r="C759" s="7"/>
      <c r="D759" s="7"/>
      <c r="E759" s="7"/>
      <c r="F759" s="7"/>
      <c r="G759" s="18">
        <f t="shared" si="1"/>
        <v>0</v>
      </c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7"/>
      <c r="B760" s="7"/>
      <c r="C760" s="7"/>
      <c r="D760" s="7"/>
      <c r="E760" s="7"/>
      <c r="F760" s="7"/>
      <c r="G760" s="18">
        <f t="shared" si="1"/>
        <v>0</v>
      </c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7"/>
      <c r="B761" s="7"/>
      <c r="C761" s="7"/>
      <c r="D761" s="7"/>
      <c r="E761" s="7"/>
      <c r="F761" s="7"/>
      <c r="G761" s="18">
        <f t="shared" si="1"/>
        <v>0</v>
      </c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7"/>
      <c r="B762" s="7"/>
      <c r="C762" s="7"/>
      <c r="D762" s="7"/>
      <c r="E762" s="7"/>
      <c r="F762" s="7"/>
      <c r="G762" s="18">
        <f t="shared" si="1"/>
        <v>0</v>
      </c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7"/>
      <c r="B763" s="7"/>
      <c r="C763" s="7"/>
      <c r="D763" s="7"/>
      <c r="E763" s="7"/>
      <c r="F763" s="7"/>
      <c r="G763" s="18">
        <f t="shared" si="1"/>
        <v>0</v>
      </c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7"/>
      <c r="B764" s="7"/>
      <c r="C764" s="7"/>
      <c r="D764" s="7"/>
      <c r="E764" s="7"/>
      <c r="F764" s="7"/>
      <c r="G764" s="18">
        <f t="shared" si="1"/>
        <v>0</v>
      </c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7"/>
      <c r="B765" s="7"/>
      <c r="C765" s="7"/>
      <c r="D765" s="7"/>
      <c r="E765" s="7"/>
      <c r="F765" s="7"/>
      <c r="G765" s="18">
        <f t="shared" si="1"/>
        <v>0</v>
      </c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7"/>
      <c r="B766" s="7"/>
      <c r="C766" s="7"/>
      <c r="D766" s="7"/>
      <c r="E766" s="7"/>
      <c r="F766" s="7"/>
      <c r="G766" s="18">
        <f t="shared" si="1"/>
        <v>0</v>
      </c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7"/>
      <c r="B767" s="7"/>
      <c r="C767" s="7"/>
      <c r="D767" s="7"/>
      <c r="E767" s="7"/>
      <c r="F767" s="7"/>
      <c r="G767" s="18">
        <f t="shared" si="1"/>
        <v>0</v>
      </c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7"/>
      <c r="B768" s="7"/>
      <c r="C768" s="7"/>
      <c r="D768" s="7"/>
      <c r="E768" s="7"/>
      <c r="F768" s="7"/>
      <c r="G768" s="18">
        <f t="shared" si="1"/>
        <v>0</v>
      </c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7"/>
      <c r="B769" s="7"/>
      <c r="C769" s="7"/>
      <c r="D769" s="7"/>
      <c r="E769" s="7"/>
      <c r="F769" s="7"/>
      <c r="G769" s="18">
        <f t="shared" si="1"/>
        <v>0</v>
      </c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7"/>
      <c r="B770" s="7"/>
      <c r="C770" s="7"/>
      <c r="D770" s="7"/>
      <c r="E770" s="7"/>
      <c r="F770" s="7"/>
      <c r="G770" s="18">
        <f t="shared" si="1"/>
        <v>0</v>
      </c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7"/>
      <c r="B771" s="7"/>
      <c r="C771" s="7"/>
      <c r="D771" s="7"/>
      <c r="E771" s="7"/>
      <c r="F771" s="7"/>
      <c r="G771" s="18">
        <f t="shared" si="1"/>
        <v>0</v>
      </c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7"/>
      <c r="B772" s="7"/>
      <c r="C772" s="7"/>
      <c r="D772" s="7"/>
      <c r="E772" s="7"/>
      <c r="F772" s="7"/>
      <c r="G772" s="18">
        <f t="shared" si="1"/>
        <v>0</v>
      </c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7"/>
      <c r="B773" s="7"/>
      <c r="C773" s="7"/>
      <c r="D773" s="7"/>
      <c r="E773" s="7"/>
      <c r="F773" s="7"/>
      <c r="G773" s="18">
        <f t="shared" si="1"/>
        <v>0</v>
      </c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7"/>
      <c r="B774" s="7"/>
      <c r="C774" s="7"/>
      <c r="D774" s="7"/>
      <c r="E774" s="7"/>
      <c r="F774" s="7"/>
      <c r="G774" s="18">
        <f t="shared" si="1"/>
        <v>0</v>
      </c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7"/>
      <c r="B775" s="7"/>
      <c r="C775" s="7"/>
      <c r="D775" s="7"/>
      <c r="E775" s="7"/>
      <c r="F775" s="7"/>
      <c r="G775" s="18">
        <f t="shared" si="1"/>
        <v>0</v>
      </c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7"/>
      <c r="B776" s="7"/>
      <c r="C776" s="7"/>
      <c r="D776" s="7"/>
      <c r="E776" s="7"/>
      <c r="F776" s="7"/>
      <c r="G776" s="18">
        <f t="shared" si="1"/>
        <v>0</v>
      </c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7"/>
      <c r="B777" s="7"/>
      <c r="C777" s="7"/>
      <c r="D777" s="7"/>
      <c r="E777" s="7"/>
      <c r="F777" s="7"/>
      <c r="G777" s="18">
        <f t="shared" si="1"/>
        <v>0</v>
      </c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7"/>
      <c r="B778" s="7"/>
      <c r="C778" s="7"/>
      <c r="D778" s="7"/>
      <c r="E778" s="7"/>
      <c r="F778" s="7"/>
      <c r="G778" s="18">
        <f t="shared" si="1"/>
        <v>0</v>
      </c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7"/>
      <c r="B779" s="7"/>
      <c r="C779" s="7"/>
      <c r="D779" s="7"/>
      <c r="E779" s="7"/>
      <c r="F779" s="7"/>
      <c r="G779" s="18">
        <f t="shared" si="1"/>
        <v>0</v>
      </c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7"/>
      <c r="B780" s="7"/>
      <c r="C780" s="7"/>
      <c r="D780" s="7"/>
      <c r="E780" s="7"/>
      <c r="F780" s="7"/>
      <c r="G780" s="18">
        <f t="shared" si="1"/>
        <v>0</v>
      </c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7"/>
      <c r="B781" s="7"/>
      <c r="C781" s="7"/>
      <c r="D781" s="7"/>
      <c r="E781" s="7"/>
      <c r="F781" s="7"/>
      <c r="G781" s="18">
        <f t="shared" si="1"/>
        <v>0</v>
      </c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7"/>
      <c r="B782" s="7"/>
      <c r="C782" s="7"/>
      <c r="D782" s="7"/>
      <c r="E782" s="7"/>
      <c r="F782" s="7"/>
      <c r="G782" s="18">
        <f t="shared" si="1"/>
        <v>0</v>
      </c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7"/>
      <c r="B783" s="7"/>
      <c r="C783" s="7"/>
      <c r="D783" s="7"/>
      <c r="E783" s="7"/>
      <c r="F783" s="7"/>
      <c r="G783" s="18">
        <f t="shared" si="1"/>
        <v>0</v>
      </c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7"/>
      <c r="B784" s="7"/>
      <c r="C784" s="7"/>
      <c r="D784" s="7"/>
      <c r="E784" s="7"/>
      <c r="F784" s="7"/>
      <c r="G784" s="18">
        <f t="shared" si="1"/>
        <v>0</v>
      </c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7"/>
      <c r="B785" s="7"/>
      <c r="C785" s="7"/>
      <c r="D785" s="7"/>
      <c r="E785" s="7"/>
      <c r="F785" s="7"/>
      <c r="G785" s="18">
        <f t="shared" si="1"/>
        <v>0</v>
      </c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7"/>
      <c r="B786" s="7"/>
      <c r="C786" s="7"/>
      <c r="D786" s="7"/>
      <c r="E786" s="7"/>
      <c r="F786" s="7"/>
      <c r="G786" s="18">
        <f t="shared" si="1"/>
        <v>0</v>
      </c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7"/>
      <c r="B787" s="7"/>
      <c r="C787" s="7"/>
      <c r="D787" s="7"/>
      <c r="E787" s="7"/>
      <c r="F787" s="7"/>
      <c r="G787" s="18">
        <f t="shared" si="1"/>
        <v>0</v>
      </c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7"/>
      <c r="B788" s="7"/>
      <c r="C788" s="7"/>
      <c r="D788" s="7"/>
      <c r="E788" s="7"/>
      <c r="F788" s="7"/>
      <c r="G788" s="18">
        <f t="shared" si="1"/>
        <v>0</v>
      </c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7"/>
      <c r="B789" s="7"/>
      <c r="C789" s="7"/>
      <c r="D789" s="7"/>
      <c r="E789" s="7"/>
      <c r="F789" s="7"/>
      <c r="G789" s="18">
        <f t="shared" si="1"/>
        <v>0</v>
      </c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7"/>
      <c r="B790" s="7"/>
      <c r="C790" s="7"/>
      <c r="D790" s="7"/>
      <c r="E790" s="7"/>
      <c r="F790" s="7"/>
      <c r="G790" s="18">
        <f t="shared" si="1"/>
        <v>0</v>
      </c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7"/>
      <c r="B791" s="7"/>
      <c r="C791" s="7"/>
      <c r="D791" s="7"/>
      <c r="E791" s="7"/>
      <c r="F791" s="7"/>
      <c r="G791" s="18">
        <f t="shared" si="1"/>
        <v>0</v>
      </c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7"/>
      <c r="B792" s="7"/>
      <c r="C792" s="7"/>
      <c r="D792" s="7"/>
      <c r="E792" s="7"/>
      <c r="F792" s="7"/>
      <c r="G792" s="18">
        <f t="shared" si="1"/>
        <v>0</v>
      </c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7"/>
      <c r="B793" s="7"/>
      <c r="C793" s="7"/>
      <c r="D793" s="7"/>
      <c r="E793" s="7"/>
      <c r="F793" s="7"/>
      <c r="G793" s="18">
        <f t="shared" si="1"/>
        <v>0</v>
      </c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7"/>
      <c r="B794" s="7"/>
      <c r="C794" s="7"/>
      <c r="D794" s="7"/>
      <c r="E794" s="7"/>
      <c r="F794" s="7"/>
      <c r="G794" s="18">
        <f t="shared" si="1"/>
        <v>0</v>
      </c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7"/>
      <c r="B795" s="7"/>
      <c r="C795" s="7"/>
      <c r="D795" s="7"/>
      <c r="E795" s="7"/>
      <c r="F795" s="7"/>
      <c r="G795" s="18">
        <f t="shared" si="1"/>
        <v>0</v>
      </c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7"/>
      <c r="B796" s="7"/>
      <c r="C796" s="7"/>
      <c r="D796" s="7"/>
      <c r="E796" s="7"/>
      <c r="F796" s="7"/>
      <c r="G796" s="18">
        <f t="shared" si="1"/>
        <v>0</v>
      </c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7"/>
      <c r="B797" s="7"/>
      <c r="C797" s="7"/>
      <c r="D797" s="7"/>
      <c r="E797" s="7"/>
      <c r="F797" s="7"/>
      <c r="G797" s="18">
        <f t="shared" si="1"/>
        <v>0</v>
      </c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7"/>
      <c r="B798" s="7"/>
      <c r="C798" s="7"/>
      <c r="D798" s="7"/>
      <c r="E798" s="7"/>
      <c r="F798" s="7"/>
      <c r="G798" s="18">
        <f t="shared" si="1"/>
        <v>0</v>
      </c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7"/>
      <c r="B799" s="7"/>
      <c r="C799" s="7"/>
      <c r="D799" s="7"/>
      <c r="E799" s="7"/>
      <c r="F799" s="7"/>
      <c r="G799" s="18">
        <f t="shared" si="1"/>
        <v>0</v>
      </c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7"/>
      <c r="B800" s="7"/>
      <c r="C800" s="7"/>
      <c r="D800" s="7"/>
      <c r="E800" s="7"/>
      <c r="F800" s="7"/>
      <c r="G800" s="18">
        <f t="shared" si="1"/>
        <v>0</v>
      </c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7"/>
      <c r="B801" s="7"/>
      <c r="C801" s="7"/>
      <c r="D801" s="7"/>
      <c r="E801" s="7"/>
      <c r="F801" s="7"/>
      <c r="G801" s="18">
        <f t="shared" si="1"/>
        <v>0</v>
      </c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7"/>
      <c r="B802" s="7"/>
      <c r="C802" s="7"/>
      <c r="D802" s="7"/>
      <c r="E802" s="7"/>
      <c r="F802" s="7"/>
      <c r="G802" s="18">
        <f t="shared" si="1"/>
        <v>0</v>
      </c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7"/>
      <c r="B803" s="7"/>
      <c r="C803" s="7"/>
      <c r="D803" s="7"/>
      <c r="E803" s="7"/>
      <c r="F803" s="7"/>
      <c r="G803" s="18">
        <f t="shared" si="1"/>
        <v>0</v>
      </c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7"/>
      <c r="B804" s="7"/>
      <c r="C804" s="7"/>
      <c r="D804" s="7"/>
      <c r="E804" s="7"/>
      <c r="F804" s="7"/>
      <c r="G804" s="18">
        <f t="shared" si="1"/>
        <v>0</v>
      </c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7"/>
      <c r="B805" s="7"/>
      <c r="C805" s="7"/>
      <c r="D805" s="7"/>
      <c r="E805" s="7"/>
      <c r="F805" s="7"/>
      <c r="G805" s="18">
        <f t="shared" si="1"/>
        <v>0</v>
      </c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7"/>
      <c r="B806" s="7"/>
      <c r="C806" s="7"/>
      <c r="D806" s="7"/>
      <c r="E806" s="7"/>
      <c r="F806" s="7"/>
      <c r="G806" s="18">
        <f t="shared" si="1"/>
        <v>0</v>
      </c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7"/>
      <c r="B807" s="7"/>
      <c r="C807" s="7"/>
      <c r="D807" s="7"/>
      <c r="E807" s="7"/>
      <c r="F807" s="7"/>
      <c r="G807" s="18">
        <f t="shared" si="1"/>
        <v>0</v>
      </c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7"/>
      <c r="B808" s="7"/>
      <c r="C808" s="7"/>
      <c r="D808" s="7"/>
      <c r="E808" s="7"/>
      <c r="F808" s="7"/>
      <c r="G808" s="18">
        <f t="shared" si="1"/>
        <v>0</v>
      </c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7"/>
      <c r="B809" s="7"/>
      <c r="C809" s="7"/>
      <c r="D809" s="7"/>
      <c r="E809" s="7"/>
      <c r="F809" s="7"/>
      <c r="G809" s="18">
        <f t="shared" si="1"/>
        <v>0</v>
      </c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7"/>
      <c r="B810" s="7"/>
      <c r="C810" s="7"/>
      <c r="D810" s="7"/>
      <c r="E810" s="7"/>
      <c r="F810" s="7"/>
      <c r="G810" s="18">
        <f t="shared" si="1"/>
        <v>0</v>
      </c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7"/>
      <c r="B811" s="7"/>
      <c r="C811" s="7"/>
      <c r="D811" s="7"/>
      <c r="E811" s="7"/>
      <c r="F811" s="7"/>
      <c r="G811" s="18">
        <f t="shared" si="1"/>
        <v>0</v>
      </c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7"/>
      <c r="B812" s="7"/>
      <c r="C812" s="7"/>
      <c r="D812" s="7"/>
      <c r="E812" s="7"/>
      <c r="F812" s="7"/>
      <c r="G812" s="18">
        <f t="shared" si="1"/>
        <v>0</v>
      </c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7"/>
      <c r="B813" s="7"/>
      <c r="C813" s="7"/>
      <c r="D813" s="7"/>
      <c r="E813" s="7"/>
      <c r="F813" s="7"/>
      <c r="G813" s="18">
        <f t="shared" si="1"/>
        <v>0</v>
      </c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7"/>
      <c r="B814" s="7"/>
      <c r="C814" s="7"/>
      <c r="D814" s="7"/>
      <c r="E814" s="7"/>
      <c r="F814" s="7"/>
      <c r="G814" s="18">
        <f t="shared" si="1"/>
        <v>0</v>
      </c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7"/>
      <c r="B815" s="7"/>
      <c r="C815" s="7"/>
      <c r="D815" s="7"/>
      <c r="E815" s="7"/>
      <c r="F815" s="7"/>
      <c r="G815" s="18">
        <f t="shared" si="1"/>
        <v>0</v>
      </c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7"/>
      <c r="B816" s="7"/>
      <c r="C816" s="7"/>
      <c r="D816" s="7"/>
      <c r="E816" s="7"/>
      <c r="F816" s="7"/>
      <c r="G816" s="18">
        <f t="shared" si="1"/>
        <v>0</v>
      </c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7"/>
      <c r="B817" s="7"/>
      <c r="C817" s="7"/>
      <c r="D817" s="7"/>
      <c r="E817" s="7"/>
      <c r="F817" s="7"/>
      <c r="G817" s="18">
        <f t="shared" si="1"/>
        <v>0</v>
      </c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7"/>
      <c r="B818" s="7"/>
      <c r="C818" s="7"/>
      <c r="D818" s="7"/>
      <c r="E818" s="7"/>
      <c r="F818" s="7"/>
      <c r="G818" s="18">
        <f t="shared" si="1"/>
        <v>0</v>
      </c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7"/>
      <c r="B819" s="7"/>
      <c r="C819" s="7"/>
      <c r="D819" s="7"/>
      <c r="E819" s="7"/>
      <c r="F819" s="7"/>
      <c r="G819" s="18">
        <f t="shared" si="1"/>
        <v>0</v>
      </c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7"/>
      <c r="B820" s="7"/>
      <c r="C820" s="7"/>
      <c r="D820" s="7"/>
      <c r="E820" s="7"/>
      <c r="F820" s="7"/>
      <c r="G820" s="18">
        <f t="shared" si="1"/>
        <v>0</v>
      </c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7"/>
      <c r="B821" s="7"/>
      <c r="C821" s="7"/>
      <c r="D821" s="7"/>
      <c r="E821" s="7"/>
      <c r="F821" s="7"/>
      <c r="G821" s="18">
        <f t="shared" si="1"/>
        <v>0</v>
      </c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7"/>
      <c r="B822" s="7"/>
      <c r="C822" s="7"/>
      <c r="D822" s="7"/>
      <c r="E822" s="7"/>
      <c r="F822" s="7"/>
      <c r="G822" s="18">
        <f t="shared" si="1"/>
        <v>0</v>
      </c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7"/>
      <c r="B823" s="7"/>
      <c r="C823" s="7"/>
      <c r="D823" s="7"/>
      <c r="E823" s="7"/>
      <c r="F823" s="7"/>
      <c r="G823" s="18">
        <f t="shared" si="1"/>
        <v>0</v>
      </c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7"/>
      <c r="B824" s="7"/>
      <c r="C824" s="7"/>
      <c r="D824" s="7"/>
      <c r="E824" s="7"/>
      <c r="F824" s="7"/>
      <c r="G824" s="18">
        <f t="shared" si="1"/>
        <v>0</v>
      </c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7"/>
      <c r="B825" s="7"/>
      <c r="C825" s="7"/>
      <c r="D825" s="7"/>
      <c r="E825" s="7"/>
      <c r="F825" s="7"/>
      <c r="G825" s="18">
        <f t="shared" si="1"/>
        <v>0</v>
      </c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7"/>
      <c r="B826" s="7"/>
      <c r="C826" s="7"/>
      <c r="D826" s="7"/>
      <c r="E826" s="7"/>
      <c r="F826" s="7"/>
      <c r="G826" s="18">
        <f t="shared" si="1"/>
        <v>0</v>
      </c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7"/>
      <c r="B827" s="7"/>
      <c r="C827" s="7"/>
      <c r="D827" s="7"/>
      <c r="E827" s="7"/>
      <c r="F827" s="7"/>
      <c r="G827" s="18">
        <f t="shared" si="1"/>
        <v>0</v>
      </c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7"/>
      <c r="B828" s="7"/>
      <c r="C828" s="7"/>
      <c r="D828" s="7"/>
      <c r="E828" s="7"/>
      <c r="F828" s="7"/>
      <c r="G828" s="18">
        <f t="shared" si="1"/>
        <v>0</v>
      </c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7"/>
      <c r="B829" s="7"/>
      <c r="C829" s="7"/>
      <c r="D829" s="7"/>
      <c r="E829" s="7"/>
      <c r="F829" s="7"/>
      <c r="G829" s="18">
        <f t="shared" si="1"/>
        <v>0</v>
      </c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7"/>
      <c r="B830" s="7"/>
      <c r="C830" s="7"/>
      <c r="D830" s="7"/>
      <c r="E830" s="7"/>
      <c r="F830" s="7"/>
      <c r="G830" s="18">
        <f t="shared" si="1"/>
        <v>0</v>
      </c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7"/>
      <c r="B831" s="7"/>
      <c r="C831" s="7"/>
      <c r="D831" s="7"/>
      <c r="E831" s="7"/>
      <c r="F831" s="7"/>
      <c r="G831" s="18">
        <f t="shared" si="1"/>
        <v>0</v>
      </c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7"/>
      <c r="B832" s="7"/>
      <c r="C832" s="7"/>
      <c r="D832" s="7"/>
      <c r="E832" s="7"/>
      <c r="F832" s="7"/>
      <c r="G832" s="18">
        <f t="shared" si="1"/>
        <v>0</v>
      </c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7"/>
      <c r="B833" s="7"/>
      <c r="C833" s="7"/>
      <c r="D833" s="7"/>
      <c r="E833" s="7"/>
      <c r="F833" s="7"/>
      <c r="G833" s="18">
        <f t="shared" si="1"/>
        <v>0</v>
      </c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7"/>
      <c r="B834" s="7"/>
      <c r="C834" s="7"/>
      <c r="D834" s="7"/>
      <c r="E834" s="7"/>
      <c r="F834" s="7"/>
      <c r="G834" s="18">
        <f t="shared" si="1"/>
        <v>0</v>
      </c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7"/>
      <c r="B835" s="7"/>
      <c r="C835" s="7"/>
      <c r="D835" s="7"/>
      <c r="E835" s="7"/>
      <c r="F835" s="7"/>
      <c r="G835" s="18">
        <f t="shared" si="1"/>
        <v>0</v>
      </c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7"/>
      <c r="B836" s="7"/>
      <c r="C836" s="7"/>
      <c r="D836" s="7"/>
      <c r="E836" s="7"/>
      <c r="F836" s="7"/>
      <c r="G836" s="18">
        <f t="shared" si="1"/>
        <v>0</v>
      </c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7"/>
      <c r="B837" s="7"/>
      <c r="C837" s="7"/>
      <c r="D837" s="7"/>
      <c r="E837" s="7"/>
      <c r="F837" s="7"/>
      <c r="G837" s="18">
        <f t="shared" si="1"/>
        <v>0</v>
      </c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7"/>
      <c r="B838" s="7"/>
      <c r="C838" s="7"/>
      <c r="D838" s="7"/>
      <c r="E838" s="7"/>
      <c r="F838" s="7"/>
      <c r="G838" s="18">
        <f t="shared" si="1"/>
        <v>0</v>
      </c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7"/>
      <c r="B839" s="7"/>
      <c r="C839" s="7"/>
      <c r="D839" s="7"/>
      <c r="E839" s="7"/>
      <c r="F839" s="7"/>
      <c r="G839" s="18">
        <f t="shared" si="1"/>
        <v>0</v>
      </c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7"/>
      <c r="B840" s="7"/>
      <c r="C840" s="7"/>
      <c r="D840" s="7"/>
      <c r="E840" s="7"/>
      <c r="F840" s="7"/>
      <c r="G840" s="18">
        <f t="shared" si="1"/>
        <v>0</v>
      </c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7"/>
      <c r="B841" s="7"/>
      <c r="C841" s="7"/>
      <c r="D841" s="7"/>
      <c r="E841" s="7"/>
      <c r="F841" s="7"/>
      <c r="G841" s="18">
        <f t="shared" si="1"/>
        <v>0</v>
      </c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7"/>
      <c r="B842" s="7"/>
      <c r="C842" s="7"/>
      <c r="D842" s="7"/>
      <c r="E842" s="7"/>
      <c r="F842" s="7"/>
      <c r="G842" s="18">
        <f t="shared" si="1"/>
        <v>0</v>
      </c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7"/>
      <c r="B843" s="7"/>
      <c r="C843" s="7"/>
      <c r="D843" s="7"/>
      <c r="E843" s="7"/>
      <c r="F843" s="7"/>
      <c r="G843" s="18">
        <f t="shared" si="1"/>
        <v>0</v>
      </c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7"/>
      <c r="B844" s="7"/>
      <c r="C844" s="7"/>
      <c r="D844" s="7"/>
      <c r="E844" s="7"/>
      <c r="F844" s="7"/>
      <c r="G844" s="18">
        <f t="shared" si="1"/>
        <v>0</v>
      </c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7"/>
      <c r="B845" s="7"/>
      <c r="C845" s="7"/>
      <c r="D845" s="7"/>
      <c r="E845" s="7"/>
      <c r="F845" s="7"/>
      <c r="G845" s="18">
        <f t="shared" si="1"/>
        <v>0</v>
      </c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7"/>
      <c r="B846" s="7"/>
      <c r="C846" s="7"/>
      <c r="D846" s="7"/>
      <c r="E846" s="7"/>
      <c r="F846" s="7"/>
      <c r="G846" s="18">
        <f t="shared" si="1"/>
        <v>0</v>
      </c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7"/>
      <c r="B847" s="7"/>
      <c r="C847" s="7"/>
      <c r="D847" s="7"/>
      <c r="E847" s="7"/>
      <c r="F847" s="7"/>
      <c r="G847" s="18">
        <f t="shared" si="1"/>
        <v>0</v>
      </c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7"/>
      <c r="B848" s="7"/>
      <c r="C848" s="7"/>
      <c r="D848" s="7"/>
      <c r="E848" s="7"/>
      <c r="F848" s="7"/>
      <c r="G848" s="18">
        <f t="shared" si="1"/>
        <v>0</v>
      </c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7"/>
      <c r="B849" s="7"/>
      <c r="C849" s="7"/>
      <c r="D849" s="7"/>
      <c r="E849" s="7"/>
      <c r="F849" s="7"/>
      <c r="G849" s="18">
        <f t="shared" si="1"/>
        <v>0</v>
      </c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7"/>
      <c r="B850" s="7"/>
      <c r="C850" s="7"/>
      <c r="D850" s="7"/>
      <c r="E850" s="7"/>
      <c r="F850" s="7"/>
      <c r="G850" s="18">
        <f t="shared" si="1"/>
        <v>0</v>
      </c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7"/>
      <c r="B851" s="7"/>
      <c r="C851" s="7"/>
      <c r="D851" s="7"/>
      <c r="E851" s="7"/>
      <c r="F851" s="7"/>
      <c r="G851" s="18">
        <f t="shared" si="1"/>
        <v>0</v>
      </c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7"/>
      <c r="B852" s="7"/>
      <c r="C852" s="7"/>
      <c r="D852" s="7"/>
      <c r="E852" s="7"/>
      <c r="F852" s="7"/>
      <c r="G852" s="18">
        <f t="shared" si="1"/>
        <v>0</v>
      </c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7"/>
      <c r="B853" s="7"/>
      <c r="C853" s="7"/>
      <c r="D853" s="7"/>
      <c r="E853" s="7"/>
      <c r="F853" s="7"/>
      <c r="G853" s="18">
        <f t="shared" si="1"/>
        <v>0</v>
      </c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7"/>
      <c r="B854" s="7"/>
      <c r="C854" s="7"/>
      <c r="D854" s="7"/>
      <c r="E854" s="7"/>
      <c r="F854" s="7"/>
      <c r="G854" s="18">
        <f t="shared" si="1"/>
        <v>0</v>
      </c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7"/>
      <c r="B855" s="7"/>
      <c r="C855" s="7"/>
      <c r="D855" s="7"/>
      <c r="E855" s="7"/>
      <c r="F855" s="7"/>
      <c r="G855" s="18">
        <f t="shared" si="1"/>
        <v>0</v>
      </c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7"/>
      <c r="B856" s="7"/>
      <c r="C856" s="7"/>
      <c r="D856" s="7"/>
      <c r="E856" s="7"/>
      <c r="F856" s="7"/>
      <c r="G856" s="18">
        <f t="shared" si="1"/>
        <v>0</v>
      </c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7"/>
      <c r="B857" s="7"/>
      <c r="C857" s="7"/>
      <c r="D857" s="7"/>
      <c r="E857" s="7"/>
      <c r="F857" s="7"/>
      <c r="G857" s="18">
        <f t="shared" si="1"/>
        <v>0</v>
      </c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7"/>
      <c r="B858" s="7"/>
      <c r="C858" s="7"/>
      <c r="D858" s="7"/>
      <c r="E858" s="7"/>
      <c r="F858" s="7"/>
      <c r="G858" s="18">
        <f t="shared" si="1"/>
        <v>0</v>
      </c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7"/>
      <c r="B859" s="7"/>
      <c r="C859" s="7"/>
      <c r="D859" s="7"/>
      <c r="E859" s="7"/>
      <c r="F859" s="7"/>
      <c r="G859" s="18">
        <f t="shared" si="1"/>
        <v>0</v>
      </c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7"/>
      <c r="B860" s="7"/>
      <c r="C860" s="7"/>
      <c r="D860" s="7"/>
      <c r="E860" s="7"/>
      <c r="F860" s="7"/>
      <c r="G860" s="18">
        <f t="shared" si="1"/>
        <v>0</v>
      </c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7"/>
      <c r="B861" s="7"/>
      <c r="C861" s="7"/>
      <c r="D861" s="7"/>
      <c r="E861" s="7"/>
      <c r="F861" s="7"/>
      <c r="G861" s="18">
        <f t="shared" si="1"/>
        <v>0</v>
      </c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7"/>
      <c r="B862" s="7"/>
      <c r="C862" s="7"/>
      <c r="D862" s="7"/>
      <c r="E862" s="7"/>
      <c r="F862" s="7"/>
      <c r="G862" s="18">
        <f t="shared" si="1"/>
        <v>0</v>
      </c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7"/>
      <c r="B863" s="7"/>
      <c r="C863" s="7"/>
      <c r="D863" s="7"/>
      <c r="E863" s="7"/>
      <c r="F863" s="7"/>
      <c r="G863" s="18">
        <f t="shared" si="1"/>
        <v>0</v>
      </c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7"/>
      <c r="B864" s="7"/>
      <c r="C864" s="7"/>
      <c r="D864" s="7"/>
      <c r="E864" s="7"/>
      <c r="F864" s="7"/>
      <c r="G864" s="18">
        <f t="shared" si="1"/>
        <v>0</v>
      </c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7"/>
      <c r="B865" s="7"/>
      <c r="C865" s="7"/>
      <c r="D865" s="7"/>
      <c r="E865" s="7"/>
      <c r="F865" s="7"/>
      <c r="G865" s="18">
        <f t="shared" si="1"/>
        <v>0</v>
      </c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7"/>
      <c r="B866" s="7"/>
      <c r="C866" s="7"/>
      <c r="D866" s="7"/>
      <c r="E866" s="7"/>
      <c r="F866" s="7"/>
      <c r="G866" s="18">
        <f t="shared" si="1"/>
        <v>0</v>
      </c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7"/>
      <c r="B867" s="7"/>
      <c r="C867" s="7"/>
      <c r="D867" s="7"/>
      <c r="E867" s="7"/>
      <c r="F867" s="7"/>
      <c r="G867" s="18">
        <f t="shared" si="1"/>
        <v>0</v>
      </c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7"/>
      <c r="B868" s="7"/>
      <c r="C868" s="7"/>
      <c r="D868" s="7"/>
      <c r="E868" s="7"/>
      <c r="F868" s="7"/>
      <c r="G868" s="18">
        <f t="shared" si="1"/>
        <v>0</v>
      </c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7"/>
      <c r="B869" s="7"/>
      <c r="C869" s="7"/>
      <c r="D869" s="7"/>
      <c r="E869" s="7"/>
      <c r="F869" s="7"/>
      <c r="G869" s="18">
        <f t="shared" si="1"/>
        <v>0</v>
      </c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7"/>
      <c r="B870" s="7"/>
      <c r="C870" s="7"/>
      <c r="D870" s="7"/>
      <c r="E870" s="7"/>
      <c r="F870" s="7"/>
      <c r="G870" s="18">
        <f t="shared" si="1"/>
        <v>0</v>
      </c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7"/>
      <c r="B871" s="7"/>
      <c r="C871" s="7"/>
      <c r="D871" s="7"/>
      <c r="E871" s="7"/>
      <c r="F871" s="7"/>
      <c r="G871" s="18">
        <f t="shared" si="1"/>
        <v>0</v>
      </c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7"/>
      <c r="B872" s="7"/>
      <c r="C872" s="7"/>
      <c r="D872" s="7"/>
      <c r="E872" s="7"/>
      <c r="F872" s="7"/>
      <c r="G872" s="18">
        <f t="shared" si="1"/>
        <v>0</v>
      </c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7"/>
      <c r="B873" s="7"/>
      <c r="C873" s="7"/>
      <c r="D873" s="7"/>
      <c r="E873" s="7"/>
      <c r="F873" s="7"/>
      <c r="G873" s="18">
        <f t="shared" si="1"/>
        <v>0</v>
      </c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7"/>
      <c r="B874" s="7"/>
      <c r="C874" s="7"/>
      <c r="D874" s="7"/>
      <c r="E874" s="7"/>
      <c r="F874" s="7"/>
      <c r="G874" s="18">
        <f t="shared" si="1"/>
        <v>0</v>
      </c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7"/>
      <c r="B875" s="7"/>
      <c r="C875" s="7"/>
      <c r="D875" s="7"/>
      <c r="E875" s="7"/>
      <c r="F875" s="7"/>
      <c r="G875" s="18">
        <f t="shared" si="1"/>
        <v>0</v>
      </c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7"/>
      <c r="B876" s="7"/>
      <c r="C876" s="7"/>
      <c r="D876" s="7"/>
      <c r="E876" s="7"/>
      <c r="F876" s="7"/>
      <c r="G876" s="18">
        <f t="shared" si="1"/>
        <v>0</v>
      </c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7"/>
      <c r="B877" s="7"/>
      <c r="C877" s="7"/>
      <c r="D877" s="7"/>
      <c r="E877" s="7"/>
      <c r="F877" s="7"/>
      <c r="G877" s="18">
        <f t="shared" si="1"/>
        <v>0</v>
      </c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7"/>
      <c r="B878" s="7"/>
      <c r="C878" s="7"/>
      <c r="D878" s="7"/>
      <c r="E878" s="7"/>
      <c r="F878" s="7"/>
      <c r="G878" s="18">
        <f t="shared" si="1"/>
        <v>0</v>
      </c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7"/>
      <c r="B879" s="7"/>
      <c r="C879" s="7"/>
      <c r="D879" s="7"/>
      <c r="E879" s="7"/>
      <c r="F879" s="7"/>
      <c r="G879" s="18">
        <f t="shared" si="1"/>
        <v>0</v>
      </c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7"/>
      <c r="B880" s="7"/>
      <c r="C880" s="7"/>
      <c r="D880" s="7"/>
      <c r="E880" s="7"/>
      <c r="F880" s="7"/>
      <c r="G880" s="18">
        <f t="shared" si="1"/>
        <v>0</v>
      </c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7"/>
      <c r="B881" s="7"/>
      <c r="C881" s="7"/>
      <c r="D881" s="7"/>
      <c r="E881" s="7"/>
      <c r="F881" s="7"/>
      <c r="G881" s="18">
        <f t="shared" si="1"/>
        <v>0</v>
      </c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7"/>
      <c r="B882" s="7"/>
      <c r="C882" s="7"/>
      <c r="D882" s="7"/>
      <c r="E882" s="7"/>
      <c r="F882" s="7"/>
      <c r="G882" s="18">
        <f t="shared" si="1"/>
        <v>0</v>
      </c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7"/>
      <c r="B883" s="7"/>
      <c r="C883" s="7"/>
      <c r="D883" s="7"/>
      <c r="E883" s="7"/>
      <c r="F883" s="7"/>
      <c r="G883" s="18">
        <f t="shared" si="1"/>
        <v>0</v>
      </c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7"/>
      <c r="B884" s="7"/>
      <c r="C884" s="7"/>
      <c r="D884" s="7"/>
      <c r="E884" s="7"/>
      <c r="F884" s="7"/>
      <c r="G884" s="18">
        <f t="shared" si="1"/>
        <v>0</v>
      </c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7"/>
      <c r="B885" s="7"/>
      <c r="C885" s="7"/>
      <c r="D885" s="7"/>
      <c r="E885" s="7"/>
      <c r="F885" s="7"/>
      <c r="G885" s="18">
        <f t="shared" si="1"/>
        <v>0</v>
      </c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7"/>
      <c r="B886" s="7"/>
      <c r="C886" s="7"/>
      <c r="D886" s="7"/>
      <c r="E886" s="7"/>
      <c r="F886" s="7"/>
      <c r="G886" s="18">
        <f t="shared" si="1"/>
        <v>0</v>
      </c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7"/>
      <c r="B887" s="7"/>
      <c r="C887" s="7"/>
      <c r="D887" s="7"/>
      <c r="E887" s="7"/>
      <c r="F887" s="7"/>
      <c r="G887" s="18">
        <f t="shared" si="1"/>
        <v>0</v>
      </c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7"/>
      <c r="B888" s="7"/>
      <c r="C888" s="7"/>
      <c r="D888" s="7"/>
      <c r="E888" s="7"/>
      <c r="F888" s="7"/>
      <c r="G888" s="18">
        <f t="shared" si="1"/>
        <v>0</v>
      </c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7"/>
      <c r="B889" s="7"/>
      <c r="C889" s="7"/>
      <c r="D889" s="7"/>
      <c r="E889" s="7"/>
      <c r="F889" s="7"/>
      <c r="G889" s="18">
        <f t="shared" si="1"/>
        <v>0</v>
      </c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7"/>
      <c r="B890" s="7"/>
      <c r="C890" s="7"/>
      <c r="D890" s="7"/>
      <c r="E890" s="7"/>
      <c r="F890" s="7"/>
      <c r="G890" s="18">
        <f t="shared" si="1"/>
        <v>0</v>
      </c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7"/>
      <c r="B891" s="7"/>
      <c r="C891" s="7"/>
      <c r="D891" s="7"/>
      <c r="E891" s="7"/>
      <c r="F891" s="7"/>
      <c r="G891" s="18">
        <f t="shared" si="1"/>
        <v>0</v>
      </c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7"/>
      <c r="B892" s="7"/>
      <c r="C892" s="7"/>
      <c r="D892" s="7"/>
      <c r="E892" s="7"/>
      <c r="F892" s="7"/>
      <c r="G892" s="18">
        <f t="shared" si="1"/>
        <v>0</v>
      </c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7"/>
      <c r="B893" s="7"/>
      <c r="C893" s="7"/>
      <c r="D893" s="7"/>
      <c r="E893" s="7"/>
      <c r="F893" s="7"/>
      <c r="G893" s="18">
        <f t="shared" si="1"/>
        <v>0</v>
      </c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7"/>
      <c r="B894" s="7"/>
      <c r="C894" s="7"/>
      <c r="D894" s="7"/>
      <c r="E894" s="7"/>
      <c r="F894" s="7"/>
      <c r="G894" s="18">
        <f t="shared" si="1"/>
        <v>0</v>
      </c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7"/>
      <c r="B895" s="7"/>
      <c r="C895" s="7"/>
      <c r="D895" s="7"/>
      <c r="E895" s="7"/>
      <c r="F895" s="7"/>
      <c r="G895" s="18">
        <f t="shared" si="1"/>
        <v>0</v>
      </c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7"/>
      <c r="B896" s="7"/>
      <c r="C896" s="7"/>
      <c r="D896" s="7"/>
      <c r="E896" s="7"/>
      <c r="F896" s="7"/>
      <c r="G896" s="18">
        <f t="shared" si="1"/>
        <v>0</v>
      </c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7"/>
      <c r="B897" s="7"/>
      <c r="C897" s="7"/>
      <c r="D897" s="7"/>
      <c r="E897" s="7"/>
      <c r="F897" s="7"/>
      <c r="G897" s="18">
        <f t="shared" si="1"/>
        <v>0</v>
      </c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7"/>
      <c r="B898" s="7"/>
      <c r="C898" s="7"/>
      <c r="D898" s="7"/>
      <c r="E898" s="7"/>
      <c r="F898" s="7"/>
      <c r="G898" s="18">
        <f t="shared" si="1"/>
        <v>0</v>
      </c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7"/>
      <c r="B899" s="7"/>
      <c r="C899" s="7"/>
      <c r="D899" s="7"/>
      <c r="E899" s="7"/>
      <c r="F899" s="7"/>
      <c r="G899" s="18">
        <f t="shared" si="1"/>
        <v>0</v>
      </c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7"/>
      <c r="B900" s="7"/>
      <c r="C900" s="7"/>
      <c r="D900" s="7"/>
      <c r="E900" s="7"/>
      <c r="F900" s="7"/>
      <c r="G900" s="18">
        <f t="shared" si="1"/>
        <v>0</v>
      </c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7"/>
      <c r="B901" s="7"/>
      <c r="C901" s="7"/>
      <c r="D901" s="7"/>
      <c r="E901" s="7"/>
      <c r="F901" s="7"/>
      <c r="G901" s="18">
        <f t="shared" si="1"/>
        <v>0</v>
      </c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7"/>
      <c r="B902" s="7"/>
      <c r="C902" s="7"/>
      <c r="D902" s="7"/>
      <c r="E902" s="7"/>
      <c r="F902" s="7"/>
      <c r="G902" s="18">
        <f t="shared" si="1"/>
        <v>0</v>
      </c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7"/>
      <c r="B903" s="7"/>
      <c r="C903" s="7"/>
      <c r="D903" s="7"/>
      <c r="E903" s="7"/>
      <c r="F903" s="7"/>
      <c r="G903" s="18">
        <f t="shared" si="1"/>
        <v>0</v>
      </c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7"/>
      <c r="B904" s="7"/>
      <c r="C904" s="7"/>
      <c r="D904" s="7"/>
      <c r="E904" s="7"/>
      <c r="F904" s="7"/>
      <c r="G904" s="18">
        <f t="shared" si="1"/>
        <v>0</v>
      </c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7"/>
      <c r="B905" s="7"/>
      <c r="C905" s="7"/>
      <c r="D905" s="7"/>
      <c r="E905" s="7"/>
      <c r="F905" s="7"/>
      <c r="G905" s="18">
        <f t="shared" si="1"/>
        <v>0</v>
      </c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7"/>
      <c r="B906" s="7"/>
      <c r="C906" s="7"/>
      <c r="D906" s="7"/>
      <c r="E906" s="7"/>
      <c r="F906" s="7"/>
      <c r="G906" s="18">
        <f t="shared" si="1"/>
        <v>0</v>
      </c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7"/>
      <c r="B907" s="7"/>
      <c r="C907" s="7"/>
      <c r="D907" s="7"/>
      <c r="E907" s="7"/>
      <c r="F907" s="7"/>
      <c r="G907" s="18">
        <f t="shared" si="1"/>
        <v>0</v>
      </c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7"/>
      <c r="B908" s="7"/>
      <c r="C908" s="7"/>
      <c r="D908" s="7"/>
      <c r="E908" s="7"/>
      <c r="F908" s="7"/>
      <c r="G908" s="18">
        <f t="shared" si="1"/>
        <v>0</v>
      </c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7"/>
      <c r="B909" s="7"/>
      <c r="C909" s="7"/>
      <c r="D909" s="7"/>
      <c r="E909" s="7"/>
      <c r="F909" s="7"/>
      <c r="G909" s="18">
        <f t="shared" si="1"/>
        <v>0</v>
      </c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7"/>
      <c r="B910" s="7"/>
      <c r="C910" s="7"/>
      <c r="D910" s="7"/>
      <c r="E910" s="7"/>
      <c r="F910" s="7"/>
      <c r="G910" s="18">
        <f t="shared" si="1"/>
        <v>0</v>
      </c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7"/>
      <c r="B911" s="7"/>
      <c r="C911" s="7"/>
      <c r="D911" s="7"/>
      <c r="E911" s="7"/>
      <c r="F911" s="7"/>
      <c r="G911" s="18">
        <f t="shared" si="1"/>
        <v>0</v>
      </c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7"/>
      <c r="B912" s="7"/>
      <c r="C912" s="7"/>
      <c r="D912" s="7"/>
      <c r="E912" s="7"/>
      <c r="F912" s="7"/>
      <c r="G912" s="18">
        <f t="shared" si="1"/>
        <v>0</v>
      </c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7"/>
      <c r="B913" s="7"/>
      <c r="C913" s="7"/>
      <c r="D913" s="7"/>
      <c r="E913" s="7"/>
      <c r="F913" s="7"/>
      <c r="G913" s="18">
        <f t="shared" si="1"/>
        <v>0</v>
      </c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7"/>
      <c r="B914" s="7"/>
      <c r="C914" s="7"/>
      <c r="D914" s="7"/>
      <c r="E914" s="7"/>
      <c r="F914" s="7"/>
      <c r="G914" s="18">
        <f t="shared" si="1"/>
        <v>0</v>
      </c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7"/>
      <c r="B915" s="7"/>
      <c r="C915" s="7"/>
      <c r="D915" s="7"/>
      <c r="E915" s="7"/>
      <c r="F915" s="7"/>
      <c r="G915" s="18">
        <f t="shared" si="1"/>
        <v>0</v>
      </c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7"/>
      <c r="B916" s="7"/>
      <c r="C916" s="7"/>
      <c r="D916" s="7"/>
      <c r="E916" s="7"/>
      <c r="F916" s="7"/>
      <c r="G916" s="18">
        <f t="shared" si="1"/>
        <v>0</v>
      </c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7"/>
      <c r="B917" s="7"/>
      <c r="C917" s="7"/>
      <c r="D917" s="7"/>
      <c r="E917" s="7"/>
      <c r="F917" s="7"/>
      <c r="G917" s="18">
        <f t="shared" si="1"/>
        <v>0</v>
      </c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7"/>
      <c r="B918" s="7"/>
      <c r="C918" s="7"/>
      <c r="D918" s="7"/>
      <c r="E918" s="7"/>
      <c r="F918" s="7"/>
      <c r="G918" s="18">
        <f t="shared" si="1"/>
        <v>0</v>
      </c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7"/>
      <c r="B919" s="7"/>
      <c r="C919" s="7"/>
      <c r="D919" s="7"/>
      <c r="E919" s="7"/>
      <c r="F919" s="7"/>
      <c r="G919" s="18">
        <f t="shared" si="1"/>
        <v>0</v>
      </c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7"/>
      <c r="B920" s="7"/>
      <c r="C920" s="7"/>
      <c r="D920" s="7"/>
      <c r="E920" s="7"/>
      <c r="F920" s="7"/>
      <c r="G920" s="18">
        <f t="shared" si="1"/>
        <v>0</v>
      </c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7"/>
      <c r="B921" s="7"/>
      <c r="C921" s="7"/>
      <c r="D921" s="7"/>
      <c r="E921" s="7"/>
      <c r="F921" s="7"/>
      <c r="G921" s="18">
        <f t="shared" si="1"/>
        <v>0</v>
      </c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7"/>
      <c r="B922" s="7"/>
      <c r="C922" s="7"/>
      <c r="D922" s="7"/>
      <c r="E922" s="7"/>
      <c r="F922" s="7"/>
      <c r="G922" s="18">
        <f t="shared" si="1"/>
        <v>0</v>
      </c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7"/>
      <c r="B923" s="7"/>
      <c r="C923" s="7"/>
      <c r="D923" s="7"/>
      <c r="E923" s="7"/>
      <c r="F923" s="7"/>
      <c r="G923" s="18">
        <f t="shared" si="1"/>
        <v>0</v>
      </c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7"/>
      <c r="B924" s="7"/>
      <c r="C924" s="7"/>
      <c r="D924" s="7"/>
      <c r="E924" s="7"/>
      <c r="F924" s="7"/>
      <c r="G924" s="18">
        <f t="shared" si="1"/>
        <v>0</v>
      </c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7"/>
      <c r="B925" s="7"/>
      <c r="C925" s="7"/>
      <c r="D925" s="7"/>
      <c r="E925" s="7"/>
      <c r="F925" s="7"/>
      <c r="G925" s="18">
        <f t="shared" si="1"/>
        <v>0</v>
      </c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7"/>
      <c r="B926" s="7"/>
      <c r="C926" s="7"/>
      <c r="D926" s="7"/>
      <c r="E926" s="7"/>
      <c r="F926" s="7"/>
      <c r="G926" s="18">
        <f t="shared" si="1"/>
        <v>0</v>
      </c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7"/>
      <c r="B927" s="7"/>
      <c r="C927" s="7"/>
      <c r="D927" s="7"/>
      <c r="E927" s="7"/>
      <c r="F927" s="7"/>
      <c r="G927" s="18">
        <f t="shared" si="1"/>
        <v>0</v>
      </c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7"/>
      <c r="B928" s="7"/>
      <c r="C928" s="7"/>
      <c r="D928" s="7"/>
      <c r="E928" s="7"/>
      <c r="F928" s="7"/>
      <c r="G928" s="18">
        <f t="shared" si="1"/>
        <v>0</v>
      </c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7"/>
      <c r="B929" s="7"/>
      <c r="C929" s="7"/>
      <c r="D929" s="7"/>
      <c r="E929" s="7"/>
      <c r="F929" s="7"/>
      <c r="G929" s="18">
        <f t="shared" si="1"/>
        <v>0</v>
      </c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7"/>
      <c r="B930" s="7"/>
      <c r="C930" s="7"/>
      <c r="D930" s="7"/>
      <c r="E930" s="7"/>
      <c r="F930" s="7"/>
      <c r="G930" s="18">
        <f t="shared" si="1"/>
        <v>0</v>
      </c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7"/>
      <c r="B931" s="7"/>
      <c r="C931" s="7"/>
      <c r="D931" s="7"/>
      <c r="E931" s="7"/>
      <c r="F931" s="7"/>
      <c r="G931" s="18">
        <f t="shared" si="1"/>
        <v>0</v>
      </c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7"/>
      <c r="B932" s="7"/>
      <c r="C932" s="7"/>
      <c r="D932" s="7"/>
      <c r="E932" s="7"/>
      <c r="F932" s="7"/>
      <c r="G932" s="18">
        <f t="shared" si="1"/>
        <v>0</v>
      </c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7"/>
      <c r="B933" s="7"/>
      <c r="C933" s="7"/>
      <c r="D933" s="7"/>
      <c r="E933" s="7"/>
      <c r="F933" s="7"/>
      <c r="G933" s="18">
        <f t="shared" si="1"/>
        <v>0</v>
      </c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7"/>
      <c r="B934" s="7"/>
      <c r="C934" s="7"/>
      <c r="D934" s="7"/>
      <c r="E934" s="7"/>
      <c r="F934" s="7"/>
      <c r="G934" s="18">
        <f t="shared" si="1"/>
        <v>0</v>
      </c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7"/>
      <c r="B935" s="7"/>
      <c r="C935" s="7"/>
      <c r="D935" s="7"/>
      <c r="E935" s="7"/>
      <c r="F935" s="7"/>
      <c r="G935" s="18">
        <f t="shared" si="1"/>
        <v>0</v>
      </c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7"/>
      <c r="B936" s="7"/>
      <c r="C936" s="7"/>
      <c r="D936" s="7"/>
      <c r="E936" s="7"/>
      <c r="F936" s="7"/>
      <c r="G936" s="18">
        <f t="shared" si="1"/>
        <v>0</v>
      </c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7"/>
      <c r="B937" s="7"/>
      <c r="C937" s="7"/>
      <c r="D937" s="7"/>
      <c r="E937" s="7"/>
      <c r="F937" s="7"/>
      <c r="G937" s="18">
        <f t="shared" si="1"/>
        <v>0</v>
      </c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7"/>
      <c r="B938" s="7"/>
      <c r="C938" s="7"/>
      <c r="D938" s="7"/>
      <c r="E938" s="7"/>
      <c r="F938" s="7"/>
      <c r="G938" s="18">
        <f t="shared" si="1"/>
        <v>0</v>
      </c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7"/>
      <c r="B939" s="7"/>
      <c r="C939" s="7"/>
      <c r="D939" s="7"/>
      <c r="E939" s="7"/>
      <c r="F939" s="7"/>
      <c r="G939" s="18">
        <f t="shared" si="1"/>
        <v>0</v>
      </c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7"/>
      <c r="B940" s="7"/>
      <c r="C940" s="7"/>
      <c r="D940" s="7"/>
      <c r="E940" s="7"/>
      <c r="F940" s="7"/>
      <c r="G940" s="18">
        <f t="shared" si="1"/>
        <v>0</v>
      </c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7"/>
      <c r="B941" s="7"/>
      <c r="C941" s="7"/>
      <c r="D941" s="7"/>
      <c r="E941" s="7"/>
      <c r="F941" s="7"/>
      <c r="G941" s="18">
        <f t="shared" si="1"/>
        <v>0</v>
      </c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7"/>
      <c r="B942" s="7"/>
      <c r="C942" s="7"/>
      <c r="D942" s="7"/>
      <c r="E942" s="7"/>
      <c r="F942" s="7"/>
      <c r="G942" s="18">
        <f t="shared" si="1"/>
        <v>0</v>
      </c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7"/>
      <c r="B943" s="7"/>
      <c r="C943" s="7"/>
      <c r="D943" s="7"/>
      <c r="E943" s="7"/>
      <c r="F943" s="7"/>
      <c r="G943" s="18">
        <f t="shared" si="1"/>
        <v>0</v>
      </c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7"/>
      <c r="B944" s="7"/>
      <c r="C944" s="7"/>
      <c r="D944" s="7"/>
      <c r="E944" s="7"/>
      <c r="F944" s="7"/>
      <c r="G944" s="18">
        <f t="shared" si="1"/>
        <v>0</v>
      </c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7"/>
      <c r="B945" s="7"/>
      <c r="C945" s="7"/>
      <c r="D945" s="7"/>
      <c r="E945" s="7"/>
      <c r="F945" s="7"/>
      <c r="G945" s="18">
        <f t="shared" si="1"/>
        <v>0</v>
      </c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7"/>
      <c r="B946" s="7"/>
      <c r="C946" s="7"/>
      <c r="D946" s="7"/>
      <c r="E946" s="7"/>
      <c r="F946" s="7"/>
      <c r="G946" s="18">
        <f t="shared" si="1"/>
        <v>0</v>
      </c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7"/>
      <c r="B947" s="7"/>
      <c r="C947" s="7"/>
      <c r="D947" s="7"/>
      <c r="E947" s="7"/>
      <c r="F947" s="7"/>
      <c r="G947" s="18">
        <f t="shared" si="1"/>
        <v>0</v>
      </c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7"/>
      <c r="B948" s="7"/>
      <c r="C948" s="7"/>
      <c r="D948" s="7"/>
      <c r="E948" s="7"/>
      <c r="F948" s="7"/>
      <c r="G948" s="18">
        <f t="shared" si="1"/>
        <v>0</v>
      </c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7"/>
      <c r="B949" s="7"/>
      <c r="C949" s="7"/>
      <c r="D949" s="7"/>
      <c r="E949" s="7"/>
      <c r="F949" s="7"/>
      <c r="G949" s="18">
        <f t="shared" si="1"/>
        <v>0</v>
      </c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7"/>
      <c r="B950" s="7"/>
      <c r="C950" s="7"/>
      <c r="D950" s="7"/>
      <c r="E950" s="7"/>
      <c r="F950" s="7"/>
      <c r="G950" s="18">
        <f t="shared" si="1"/>
        <v>0</v>
      </c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7"/>
      <c r="B951" s="7"/>
      <c r="C951" s="7"/>
      <c r="D951" s="7"/>
      <c r="E951" s="7"/>
      <c r="F951" s="7"/>
      <c r="G951" s="18">
        <f t="shared" si="1"/>
        <v>0</v>
      </c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7"/>
      <c r="B952" s="7"/>
      <c r="C952" s="7"/>
      <c r="D952" s="7"/>
      <c r="E952" s="7"/>
      <c r="F952" s="7"/>
      <c r="G952" s="18">
        <f t="shared" si="1"/>
        <v>0</v>
      </c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7"/>
      <c r="B953" s="7"/>
      <c r="C953" s="7"/>
      <c r="D953" s="7"/>
      <c r="E953" s="7"/>
      <c r="F953" s="7"/>
      <c r="G953" s="18">
        <f t="shared" si="1"/>
        <v>0</v>
      </c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7"/>
      <c r="B954" s="7"/>
      <c r="C954" s="7"/>
      <c r="D954" s="7"/>
      <c r="E954" s="7"/>
      <c r="F954" s="7"/>
      <c r="G954" s="18">
        <f t="shared" si="1"/>
        <v>0</v>
      </c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7"/>
      <c r="B955" s="7"/>
      <c r="C955" s="7"/>
      <c r="D955" s="7"/>
      <c r="E955" s="7"/>
      <c r="F955" s="7"/>
      <c r="G955" s="18">
        <f t="shared" si="1"/>
        <v>0</v>
      </c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7"/>
      <c r="B956" s="7"/>
      <c r="C956" s="7"/>
      <c r="D956" s="7"/>
      <c r="E956" s="7"/>
      <c r="F956" s="7"/>
      <c r="G956" s="18">
        <f t="shared" si="1"/>
        <v>0</v>
      </c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7"/>
      <c r="B957" s="7"/>
      <c r="C957" s="7"/>
      <c r="D957" s="7"/>
      <c r="E957" s="7"/>
      <c r="F957" s="7"/>
      <c r="G957" s="18">
        <f t="shared" si="1"/>
        <v>0</v>
      </c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7"/>
      <c r="B958" s="7"/>
      <c r="C958" s="7"/>
      <c r="D958" s="7"/>
      <c r="E958" s="7"/>
      <c r="F958" s="7"/>
      <c r="G958" s="18">
        <f t="shared" si="1"/>
        <v>0</v>
      </c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7"/>
      <c r="B959" s="7"/>
      <c r="C959" s="7"/>
      <c r="D959" s="7"/>
      <c r="E959" s="7"/>
      <c r="F959" s="7"/>
      <c r="G959" s="18">
        <f t="shared" si="1"/>
        <v>0</v>
      </c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7"/>
      <c r="B960" s="7"/>
      <c r="C960" s="7"/>
      <c r="D960" s="7"/>
      <c r="E960" s="7"/>
      <c r="F960" s="7"/>
      <c r="G960" s="18">
        <f t="shared" si="1"/>
        <v>0</v>
      </c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7"/>
      <c r="B961" s="7"/>
      <c r="C961" s="7"/>
      <c r="D961" s="7"/>
      <c r="E961" s="7"/>
      <c r="F961" s="7"/>
      <c r="G961" s="18">
        <f t="shared" si="1"/>
        <v>0</v>
      </c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7"/>
      <c r="B962" s="7"/>
      <c r="C962" s="7"/>
      <c r="D962" s="7"/>
      <c r="E962" s="7"/>
      <c r="F962" s="7"/>
      <c r="G962" s="18">
        <f t="shared" si="1"/>
        <v>0</v>
      </c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7"/>
      <c r="B963" s="7"/>
      <c r="C963" s="7"/>
      <c r="D963" s="7"/>
      <c r="E963" s="7"/>
      <c r="F963" s="7"/>
      <c r="G963" s="18">
        <f t="shared" si="1"/>
        <v>0</v>
      </c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7"/>
      <c r="B964" s="7"/>
      <c r="C964" s="7"/>
      <c r="D964" s="7"/>
      <c r="E964" s="7"/>
      <c r="F964" s="7"/>
      <c r="G964" s="18">
        <f t="shared" si="1"/>
        <v>0</v>
      </c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7"/>
      <c r="B965" s="7"/>
      <c r="C965" s="7"/>
      <c r="D965" s="7"/>
      <c r="E965" s="7"/>
      <c r="F965" s="7"/>
      <c r="G965" s="18">
        <f t="shared" si="1"/>
        <v>0</v>
      </c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7"/>
      <c r="B966" s="7"/>
      <c r="C966" s="7"/>
      <c r="D966" s="7"/>
      <c r="E966" s="7"/>
      <c r="F966" s="7"/>
      <c r="G966" s="18">
        <f t="shared" si="1"/>
        <v>0</v>
      </c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7"/>
      <c r="B967" s="7"/>
      <c r="C967" s="7"/>
      <c r="D967" s="7"/>
      <c r="E967" s="7"/>
      <c r="F967" s="7"/>
      <c r="G967" s="18">
        <f t="shared" si="1"/>
        <v>0</v>
      </c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7"/>
      <c r="B968" s="7"/>
      <c r="C968" s="7"/>
      <c r="D968" s="7"/>
      <c r="E968" s="7"/>
      <c r="F968" s="7"/>
      <c r="G968" s="18">
        <f t="shared" si="1"/>
        <v>0</v>
      </c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7"/>
      <c r="B969" s="7"/>
      <c r="C969" s="7"/>
      <c r="D969" s="7"/>
      <c r="E969" s="7"/>
      <c r="F969" s="7"/>
      <c r="G969" s="18">
        <f t="shared" si="1"/>
        <v>0</v>
      </c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7"/>
      <c r="B970" s="7"/>
      <c r="C970" s="7"/>
      <c r="D970" s="7"/>
      <c r="E970" s="7"/>
      <c r="F970" s="7"/>
      <c r="G970" s="18">
        <f t="shared" si="1"/>
        <v>0</v>
      </c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7"/>
      <c r="B971" s="7"/>
      <c r="C971" s="7"/>
      <c r="D971" s="7"/>
      <c r="E971" s="7"/>
      <c r="F971" s="7"/>
      <c r="G971" s="18">
        <f t="shared" si="1"/>
        <v>0</v>
      </c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7"/>
      <c r="B972" s="7"/>
      <c r="C972" s="7"/>
      <c r="D972" s="7"/>
      <c r="E972" s="7"/>
      <c r="F972" s="7"/>
      <c r="G972" s="18">
        <f t="shared" si="1"/>
        <v>0</v>
      </c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7"/>
      <c r="B973" s="7"/>
      <c r="C973" s="7"/>
      <c r="D973" s="7"/>
      <c r="E973" s="7"/>
      <c r="F973" s="7"/>
      <c r="G973" s="18">
        <f t="shared" si="1"/>
        <v>0</v>
      </c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7"/>
      <c r="B974" s="7"/>
      <c r="C974" s="7"/>
      <c r="D974" s="7"/>
      <c r="E974" s="7"/>
      <c r="F974" s="7"/>
      <c r="G974" s="18">
        <f t="shared" si="1"/>
        <v>0</v>
      </c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7"/>
      <c r="B975" s="7"/>
      <c r="C975" s="7"/>
      <c r="D975" s="7"/>
      <c r="E975" s="7"/>
      <c r="F975" s="7"/>
      <c r="G975" s="18">
        <f t="shared" si="1"/>
        <v>0</v>
      </c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7"/>
      <c r="B976" s="7"/>
      <c r="C976" s="7"/>
      <c r="D976" s="7"/>
      <c r="E976" s="7"/>
      <c r="F976" s="7"/>
      <c r="G976" s="18">
        <f t="shared" si="1"/>
        <v>0</v>
      </c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7"/>
      <c r="B977" s="7"/>
      <c r="C977" s="7"/>
      <c r="D977" s="7"/>
      <c r="E977" s="7"/>
      <c r="F977" s="7"/>
      <c r="G977" s="18">
        <f t="shared" si="1"/>
        <v>0</v>
      </c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7"/>
      <c r="B978" s="7"/>
      <c r="C978" s="7"/>
      <c r="D978" s="7"/>
      <c r="E978" s="7"/>
      <c r="F978" s="7"/>
      <c r="G978" s="18">
        <f t="shared" si="1"/>
        <v>0</v>
      </c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7"/>
      <c r="B979" s="7"/>
      <c r="C979" s="7"/>
      <c r="D979" s="7"/>
      <c r="E979" s="7"/>
      <c r="F979" s="7"/>
      <c r="G979" s="18">
        <f t="shared" si="1"/>
        <v>0</v>
      </c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7"/>
      <c r="B980" s="7"/>
      <c r="C980" s="7"/>
      <c r="D980" s="7"/>
      <c r="E980" s="7"/>
      <c r="F980" s="7"/>
      <c r="G980" s="18">
        <f t="shared" si="1"/>
        <v>0</v>
      </c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7"/>
      <c r="B981" s="7"/>
      <c r="C981" s="7"/>
      <c r="D981" s="7"/>
      <c r="E981" s="7"/>
      <c r="F981" s="7"/>
      <c r="G981" s="18">
        <f t="shared" si="1"/>
        <v>0</v>
      </c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7"/>
      <c r="B982" s="7"/>
      <c r="C982" s="7"/>
      <c r="D982" s="7"/>
      <c r="E982" s="7"/>
      <c r="F982" s="7"/>
      <c r="G982" s="18">
        <f t="shared" si="1"/>
        <v>0</v>
      </c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7"/>
      <c r="B983" s="7"/>
      <c r="C983" s="7"/>
      <c r="D983" s="7"/>
      <c r="E983" s="7"/>
      <c r="F983" s="7"/>
      <c r="G983" s="18">
        <f t="shared" si="1"/>
        <v>0</v>
      </c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7"/>
      <c r="B984" s="7"/>
      <c r="C984" s="7"/>
      <c r="D984" s="7"/>
      <c r="E984" s="7"/>
      <c r="F984" s="7"/>
      <c r="G984" s="18">
        <f t="shared" si="1"/>
        <v>0</v>
      </c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7"/>
      <c r="B985" s="7"/>
      <c r="C985" s="7"/>
      <c r="D985" s="7"/>
      <c r="E985" s="7"/>
      <c r="F985" s="7"/>
      <c r="G985" s="18">
        <f t="shared" si="1"/>
        <v>0</v>
      </c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7"/>
      <c r="B986" s="7"/>
      <c r="C986" s="7"/>
      <c r="D986" s="7"/>
      <c r="E986" s="7"/>
      <c r="F986" s="7"/>
      <c r="G986" s="18">
        <f t="shared" si="1"/>
        <v>0</v>
      </c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7"/>
      <c r="B987" s="7"/>
      <c r="C987" s="7"/>
      <c r="D987" s="7"/>
      <c r="E987" s="7"/>
      <c r="F987" s="7"/>
      <c r="G987" s="18">
        <f t="shared" si="1"/>
        <v>0</v>
      </c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7"/>
      <c r="B988" s="7"/>
      <c r="C988" s="7"/>
      <c r="D988" s="7"/>
      <c r="E988" s="7"/>
      <c r="F988" s="7"/>
      <c r="G988" s="18">
        <f t="shared" si="1"/>
        <v>0</v>
      </c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>
      <c r="A989" s="7"/>
      <c r="B989" s="7"/>
      <c r="C989" s="7"/>
      <c r="D989" s="7"/>
      <c r="E989" s="7"/>
      <c r="F989" s="7"/>
      <c r="G989" s="18">
        <f t="shared" si="1"/>
        <v>0</v>
      </c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>
      <c r="A990" s="7"/>
      <c r="B990" s="7"/>
      <c r="C990" s="7"/>
      <c r="D990" s="7"/>
      <c r="E990" s="7"/>
      <c r="F990" s="7"/>
      <c r="G990" s="18">
        <f t="shared" si="1"/>
        <v>0</v>
      </c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>
      <c r="A991" s="7"/>
      <c r="B991" s="7"/>
      <c r="C991" s="7"/>
      <c r="D991" s="7"/>
      <c r="E991" s="7"/>
      <c r="F991" s="7"/>
      <c r="G991" s="18">
        <f t="shared" si="1"/>
        <v>0</v>
      </c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>
      <c r="A992" s="7"/>
      <c r="B992" s="7"/>
      <c r="C992" s="7"/>
      <c r="D992" s="7"/>
      <c r="E992" s="7"/>
      <c r="F992" s="7"/>
      <c r="G992" s="18">
        <f t="shared" si="1"/>
        <v>0</v>
      </c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>
      <c r="A993" s="7"/>
      <c r="B993" s="7"/>
      <c r="C993" s="7"/>
      <c r="D993" s="7"/>
      <c r="E993" s="7"/>
      <c r="F993" s="7"/>
      <c r="G993" s="18">
        <f t="shared" si="1"/>
        <v>0</v>
      </c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>
      <c r="A994" s="7"/>
      <c r="B994" s="7"/>
      <c r="C994" s="7"/>
      <c r="D994" s="7"/>
      <c r="E994" s="7"/>
      <c r="F994" s="7"/>
      <c r="G994" s="18">
        <f t="shared" si="1"/>
        <v>0</v>
      </c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>
      <c r="A995" s="7"/>
      <c r="B995" s="7"/>
      <c r="C995" s="7"/>
      <c r="D995" s="7"/>
      <c r="E995" s="7"/>
      <c r="F995" s="7"/>
      <c r="G995" s="18">
        <f t="shared" si="1"/>
        <v>0</v>
      </c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>
      <c r="A996" s="7"/>
      <c r="B996" s="7"/>
      <c r="C996" s="7"/>
      <c r="D996" s="7"/>
      <c r="E996" s="7"/>
      <c r="F996" s="7"/>
      <c r="G996" s="18">
        <f t="shared" si="1"/>
        <v>0</v>
      </c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>
      <c r="A997" s="7"/>
      <c r="B997" s="7"/>
      <c r="C997" s="7"/>
      <c r="D997" s="7"/>
      <c r="E997" s="7"/>
      <c r="F997" s="7"/>
      <c r="G997" s="18">
        <f t="shared" si="1"/>
        <v>0</v>
      </c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>
      <c r="A998" s="7"/>
      <c r="B998" s="7"/>
      <c r="C998" s="7"/>
      <c r="D998" s="7"/>
      <c r="E998" s="7"/>
      <c r="F998" s="7"/>
      <c r="G998" s="18">
        <f t="shared" si="1"/>
        <v>0</v>
      </c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>
      <c r="A999" s="7"/>
      <c r="B999" s="7"/>
      <c r="C999" s="7"/>
      <c r="D999" s="7"/>
      <c r="E999" s="7"/>
      <c r="F999" s="7"/>
      <c r="G999" s="18">
        <f t="shared" si="1"/>
        <v>0</v>
      </c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>
      <c r="A1000" s="7"/>
      <c r="B1000" s="7"/>
      <c r="C1000" s="7"/>
      <c r="D1000" s="7"/>
      <c r="E1000" s="7"/>
      <c r="F1000" s="7"/>
      <c r="G1000" s="18">
        <f t="shared" si="1"/>
        <v>0</v>
      </c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</sheetData>
  <dataValidations>
    <dataValidation type="list" allowBlank="1" sqref="H2:H501">
      <formula1>"Cash,Mobile Money,Bank Transfer,Cheque,Credit"</formula1>
    </dataValidation>
    <dataValidation type="list" allowBlank="1" sqref="I2:I501">
      <formula1>"Completed,Pending,Failed"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29.63"/>
    <col customWidth="1" min="3" max="3" width="23.75"/>
    <col customWidth="1" min="4" max="4" width="18.13"/>
    <col customWidth="1" min="5" max="5" width="17.88"/>
    <col customWidth="1" min="6" max="6" width="18.5"/>
    <col customWidth="1" min="7" max="7" width="17.13"/>
    <col customWidth="1" min="8" max="8" width="17.63"/>
  </cols>
  <sheetData>
    <row r="1">
      <c r="A1" s="2" t="s">
        <v>118</v>
      </c>
      <c r="B1" s="2" t="s">
        <v>225</v>
      </c>
      <c r="C1" s="2" t="s">
        <v>335</v>
      </c>
      <c r="D1" s="2" t="s">
        <v>336</v>
      </c>
      <c r="E1" s="2" t="s">
        <v>338</v>
      </c>
      <c r="F1" s="2" t="s">
        <v>168</v>
      </c>
      <c r="G1" s="2" t="s">
        <v>14</v>
      </c>
      <c r="H1" s="2" t="s">
        <v>13</v>
      </c>
    </row>
  </sheetData>
  <drawing r:id="rId1"/>
</worksheet>
</file>